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bmp" ContentType="image/bmp"/>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Untitled" sheetId="2" r:id="rId4"/>
    <sheet name="2-Incidentes" sheetId="3" r:id="rId5"/>
    <sheet name="3-INC - Asignados" sheetId="4" r:id="rId6"/>
    <sheet name="4-INC - Vencimiento SLA" sheetId="5" r:id="rId7"/>
    <sheet name="5-INC - Antiguedad (días)" sheetId="6" r:id="rId8"/>
    <sheet name="6-INC - Estado" sheetId="7" r:id="rId9"/>
    <sheet name="7-INC - Resolutor Asignado" sheetId="8" r:id="rId10"/>
    <sheet name="8-INC - Grupo Asignado" sheetId="9" r:id="rId11"/>
    <sheet name="9-Ordenes de trabajo" sheetId="10" r:id="rId12"/>
    <sheet name="10-WO - Asignados" sheetId="11" r:id="rId13"/>
    <sheet name="11-WO - Vencimiento SLA" sheetId="12" r:id="rId14"/>
    <sheet name="12-WO - Antiguedad (días)" sheetId="13" r:id="rId15"/>
    <sheet name="13-WO - Estado" sheetId="14" r:id="rId16"/>
    <sheet name="14-WO - Resolutor Asignado" sheetId="15" r:id="rId17"/>
    <sheet name="15-WO - Grupo Asignado" sheetId="16" r:id="rId18"/>
    <sheet name="16-Incidentes (1)" sheetId="17" r:id="rId19"/>
    <sheet name="17-Ordenes de Trabajo" sheetId="18" r:id="rId2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dd\/mm\/yyyy\ hh:mm"/>
  </numFmts>
  <fonts count="4">
    <font>
      <sz val="11"/>
      <color theme="1"/>
      <name val="Calibri"/>
      <family val="2"/>
    </font>
    <font>
      <b val="1"/>
      <sz val="11"/>
      <color rgb="FF000000"/>
      <name val="Calibri"/>
      <family val="2"/>
    </font>
    <font>
      <sz val="11"/>
      <color/>
      <name val="Calibri"/>
      <family val="2"/>
    </font>
    <font>
      <u val="single"/>
      <sz val="11"/>
      <color rgb="FFBLUE"/>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xf>
    <xf numFmtId="0" fontId="2" fillId="0" borderId="0" xfId="0" applyFont="true" applyAlignment="true">
      <alignment horizontal="left" vertical="top"/>
    </xf>
    <xf numFmtId="0" fontId="3" fillId="0" borderId="0" xfId="0" applyFont="true" applyAlignment="true">
      <alignment horizontal="left" vertical="top"/>
    </xf>
    <xf numFmtId="164" fontId="2" fillId="0" borderId="0" xfId="0" applyNumberFormat="true" applyFont="true" applyAlignment="true">
      <alignment horizontal="left" vertical="top"/>
    </xf>
    <xf numFmtId="165" fontId="2" fillId="0" borderId="0" xfId="0" applyNumberFormat="true"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2.png" Type="http://schemas.openxmlformats.org/officeDocument/2006/relationships/image"></Relationship></Relationships>
</file>

<file path=xl/drawings/_rels/drawing3.xml.rels><?xml version="1.0" encoding="UTF-8"?>
<Relationships xmlns="http://schemas.openxmlformats.org/package/2006/relationships"><Relationship Id="rId1" Target="../media/image3.png" Type="http://schemas.openxmlformats.org/officeDocument/2006/relationships/image"></Relationship></Relationships>
</file>

<file path=xl/drawings/_rels/drawing4.xml.rels><?xml version="1.0" encoding="UTF-8"?>
<Relationships xmlns="http://schemas.openxmlformats.org/package/2006/relationships"><Relationship Id="rId1" Target="../media/image4.png" Type="http://schemas.openxmlformats.org/officeDocument/2006/relationships/image"></Relationship></Relationships>
</file>

<file path=xl/drawings/_rels/drawing5.xml.rels><?xml version="1.0" encoding="UTF-8"?>
<Relationships xmlns="http://schemas.openxmlformats.org/package/2006/relationships"><Relationship Id="rId1" Target="../media/image5.png" Type="http://schemas.openxmlformats.org/officeDocument/2006/relationships/image"></Relationship></Relationships>
</file>

<file path=xl/drawings/_rels/drawing6.xml.rels><?xml version="1.0" encoding="UTF-8"?>
<Relationships xmlns="http://schemas.openxmlformats.org/package/2006/relationships"><Relationship Id="rId1" Target="../media/image6.png" Type="http://schemas.openxmlformats.org/officeDocument/2006/relationships/image"></Relationship></Relationships>
</file>

<file path=xl/drawings/_rels/drawing7.xml.rels><?xml version="1.0" encoding="UTF-8"?>
<Relationships xmlns="http://schemas.openxmlformats.org/package/2006/relationships"><Relationship Id="rId1" Target="../media/image7.png" Type="http://schemas.openxmlformats.org/officeDocument/2006/relationships/image"></Relationship></Relationships>
</file>

<file path=xl/drawings/_rels/drawing8.xml.rels><?xml version="1.0" encoding="UTF-8"?>
<Relationships xmlns="http://schemas.openxmlformats.org/package/2006/relationships"><Relationship Id="rId1" Target="../media/image8.png" Type="http://schemas.openxmlformats.org/officeDocument/2006/relationships/image"></Relationship></Relationships>
</file>

<file path=xl/drawings/_rels/drawing9.xml.rels><?xml version="1.0" encoding="UTF-8"?>
<Relationships xmlns="http://schemas.openxmlformats.org/package/2006/relationships"><Relationship Id="rId1" Target="../media/image9.png" Type="http://schemas.openxmlformats.org/officeDocument/2006/relationships/image"></Relationship></Relationships>
</file>

<file path=xl/drawings/_rels/drawing10.xml.rels><?xml version="1.0" encoding="UTF-8"?>
<Relationships xmlns="http://schemas.openxmlformats.org/package/2006/relationships"><Relationship Id="rId1" Target="../media/image10.png" Type="http://schemas.openxmlformats.org/officeDocument/2006/relationships/image"></Relationship></Relationships>
</file>

<file path=xl/drawings/_rels/drawing11.xml.rels><?xml version="1.0" encoding="UTF-8"?>
<Relationships xmlns="http://schemas.openxmlformats.org/package/2006/relationships"><Relationship Id="rId1" Target="../media/image1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Nombre Resolutor</t>
        </is>
      </c>
      <c r="B1" s="1" t="inlineStr">
        <is>
          <t>Cantidad</t>
        </is>
      </c>
    </row>
    <row r="2">
      <c r="A2" s="2" t="inlineStr">
        <is>
          <t>MICHAEL STEVEN FRAILE GOMEZ</t>
        </is>
      </c>
      <c r="B2" s="2">
        <v>8</v>
      </c>
    </row>
    <row r="3">
      <c r="A3" s="2" t="inlineStr">
        <is>
          <t>ANDERSON JULIAN RATIVA RAMIREZ</t>
        </is>
      </c>
      <c r="B3" s="2">
        <v>7</v>
      </c>
    </row>
    <row r="4">
      <c r="A4" s="2" t="inlineStr">
        <is>
          <t>MIGUEL JOSE NUÑEZ MARQUEZ</t>
        </is>
      </c>
      <c r="B4" s="2">
        <v>6</v>
      </c>
    </row>
    <row r="5">
      <c r="A5" s="2" t="inlineStr">
        <is>
          <t>NICK STEVE TRIANA LOPEZ</t>
        </is>
      </c>
      <c r="B5" s="2">
        <v>6</v>
      </c>
    </row>
    <row r="6">
      <c r="A6" s="2" t="inlineStr">
        <is>
          <t>DILAN SAMIR LOPEZ ARAUJO</t>
        </is>
      </c>
      <c r="B6" s="2">
        <v>5</v>
      </c>
    </row>
    <row r="7">
      <c r="A7" s="2" t="inlineStr">
        <is>
          <t>IVAN FELIPE GARCIA MANRIQUE</t>
        </is>
      </c>
      <c r="B7" s="2">
        <v>4</v>
      </c>
    </row>
    <row r="8">
      <c r="A8" s="2" t="inlineStr">
        <is>
          <t>KEVIN ALEXIS GARCIA GUARACA</t>
        </is>
      </c>
      <c r="B8" s="2">
        <v>4</v>
      </c>
    </row>
    <row r="9">
      <c r="A9" s="2" t="inlineStr">
        <is>
          <t>ALLISSON MAURICIO MORENO PABON</t>
        </is>
      </c>
      <c r="B9" s="2">
        <v>3</v>
      </c>
    </row>
    <row r="10">
      <c r="A10" s="2" t="inlineStr">
        <is>
          <t>EDWIN ALEXIS PATIÑO TEJEDOR</t>
        </is>
      </c>
      <c r="B10" s="2">
        <v>3</v>
      </c>
    </row>
    <row r="11">
      <c r="A11" s="2" t="inlineStr">
        <is>
          <t>PEDRO ANTONIO SARMIENTO PEREZ</t>
        </is>
      </c>
      <c r="B11" s="2">
        <v>3</v>
      </c>
    </row>
    <row r="12">
      <c r="A12" s="2" t="inlineStr">
        <is>
          <t>DANIEL ALEJANDRO BORDA MESTIZO</t>
        </is>
      </c>
      <c r="B12" s="2">
        <v>2</v>
      </c>
    </row>
    <row r="13">
      <c r="A13" s="2" t="inlineStr">
        <is>
          <t>DANIEL CAMILO BARRERO GALINDO</t>
        </is>
      </c>
      <c r="B13" s="2">
        <v>2</v>
      </c>
    </row>
    <row r="14">
      <c r="A14" s="2" t="inlineStr">
        <is>
          <t>FABIAN JESSID PASTRANA AGUIRRE</t>
        </is>
      </c>
      <c r="B14" s="2">
        <v>2</v>
      </c>
    </row>
    <row r="15">
      <c r="A15" s="2" t="inlineStr">
        <is>
          <t>JEISON ANDRES REYES ROMERO</t>
        </is>
      </c>
      <c r="B15" s="2">
        <v>2</v>
      </c>
    </row>
    <row r="16">
      <c r="A16" s="2" t="inlineStr">
        <is>
          <t>JOSE ARLEY SANCHEZ COLORADO</t>
        </is>
      </c>
      <c r="B16" s="2">
        <v>2</v>
      </c>
    </row>
    <row r="17">
      <c r="A17" s="2" t="inlineStr">
        <is>
          <t>JUAN CAMILO RINCON BLANCO</t>
        </is>
      </c>
      <c r="B17" s="2">
        <v>2</v>
      </c>
    </row>
    <row r="18">
      <c r="A18" s="2" t="inlineStr">
        <is>
          <t>SANTIAGO PERDOMO ACERO</t>
        </is>
      </c>
      <c r="B18" s="2">
        <v>2</v>
      </c>
    </row>
    <row r="19">
      <c r="A19" s="2" t="inlineStr">
        <is>
          <t>CAMILO ANDRES GONZALEZ NARVAEZ</t>
        </is>
      </c>
      <c r="B19" s="2">
        <v>1</v>
      </c>
    </row>
    <row r="20">
      <c r="A20" s="2" t="inlineStr">
        <is>
          <t>DANIEL ALFONSO MENDOZA BARBOSA</t>
        </is>
      </c>
      <c r="B20" s="2">
        <v>1</v>
      </c>
    </row>
    <row r="21">
      <c r="A21" s="2" t="inlineStr">
        <is>
          <t>DAVID ESTEBAN DIAZ LLANOS</t>
        </is>
      </c>
      <c r="B21" s="2">
        <v>1</v>
      </c>
    </row>
    <row r="22">
      <c r="A22" s="2" t="inlineStr">
        <is>
          <t>FREDY ANDRES AVILA VEGA</t>
        </is>
      </c>
      <c r="B22" s="2">
        <v>1</v>
      </c>
    </row>
    <row r="23">
      <c r="A23" s="2" t="inlineStr">
        <is>
          <t>GERLYN RENTERIA OROZCO</t>
        </is>
      </c>
      <c r="B23" s="2">
        <v>1</v>
      </c>
    </row>
    <row r="24">
      <c r="A24" s="2" t="inlineStr">
        <is>
          <t>MARIA FERNANDA PEREIRA BUENO</t>
        </is>
      </c>
      <c r="B24" s="2">
        <v>1</v>
      </c>
    </row>
    <row r="25">
      <c r="A25" s="2"/>
      <c r="B25" s="2">
        <v>1</v>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Grupo</t>
        </is>
      </c>
      <c r="B1" s="1" t="inlineStr">
        <is>
          <t>Cantidad</t>
        </is>
      </c>
    </row>
    <row r="2">
      <c r="A2" s="2" t="inlineStr">
        <is>
          <t>ZONA CENTRO</t>
        </is>
      </c>
      <c r="B2" s="2">
        <v>20</v>
      </c>
    </row>
    <row r="3">
      <c r="A3" s="2" t="inlineStr">
        <is>
          <t>SPT CABECERA CARRERA 69</t>
        </is>
      </c>
      <c r="B3" s="2">
        <v>8</v>
      </c>
    </row>
    <row r="4">
      <c r="A4" s="2" t="inlineStr">
        <is>
          <t>SPT ZONA SURORIENTE</t>
        </is>
      </c>
      <c r="B4" s="2">
        <v>7</v>
      </c>
    </row>
    <row r="5">
      <c r="A5" s="2" t="inlineStr">
        <is>
          <t>ZONA NORTE</t>
        </is>
      </c>
      <c r="B5" s="2">
        <v>5</v>
      </c>
    </row>
    <row r="6">
      <c r="A6" s="2" t="inlineStr">
        <is>
          <t>SPT ESCRITORIO VIRTUAL</t>
        </is>
      </c>
      <c r="B6" s="2">
        <v>4</v>
      </c>
    </row>
    <row r="7">
      <c r="A7" s="2" t="inlineStr">
        <is>
          <t>SPT CABECERA 1 MAYO</t>
        </is>
      </c>
      <c r="B7" s="2">
        <v>3</v>
      </c>
    </row>
    <row r="8">
      <c r="A8" s="2" t="inlineStr">
        <is>
          <t>SPT CABECERA CALLE 26</t>
        </is>
      </c>
      <c r="B8" s="2">
        <v>3</v>
      </c>
    </row>
    <row r="9">
      <c r="A9" s="2" t="inlineStr">
        <is>
          <t>SPT CABECERA KENNEDY</t>
        </is>
      </c>
      <c r="B9" s="2">
        <v>3</v>
      </c>
    </row>
    <row r="10">
      <c r="A10" s="2" t="inlineStr">
        <is>
          <t>SPT ZONA NORTE</t>
        </is>
      </c>
      <c r="B10" s="2">
        <v>3</v>
      </c>
    </row>
    <row r="11">
      <c r="A11" s="2" t="inlineStr">
        <is>
          <t>SPT ZONA OCCIDENTE</t>
        </is>
      </c>
      <c r="B11" s="2">
        <v>3</v>
      </c>
    </row>
    <row r="12">
      <c r="A12" s="2" t="inlineStr">
        <is>
          <t>ZONA OCCIDENTE</t>
        </is>
      </c>
      <c r="B12" s="2">
        <v>3</v>
      </c>
    </row>
    <row r="13">
      <c r="A13" s="2" t="inlineStr">
        <is>
          <t>ZONA ORIENTE</t>
        </is>
      </c>
      <c r="B13" s="2">
        <v>2</v>
      </c>
    </row>
    <row r="14">
      <c r="A14" s="2" t="inlineStr">
        <is>
          <t>SPT CABECERA CALLE 42</t>
        </is>
      </c>
      <c r="B14" s="2">
        <v>1</v>
      </c>
    </row>
    <row r="15">
      <c r="A15" s="2" t="inlineStr">
        <is>
          <t>SPT CABECERA CALLE 94</t>
        </is>
      </c>
      <c r="B15" s="2">
        <v>1</v>
      </c>
    </row>
    <row r="16">
      <c r="A16" s="2" t="inlineStr">
        <is>
          <t>SPT CABECERA CARRERA 60</t>
        </is>
      </c>
      <c r="B16" s="2">
        <v>1</v>
      </c>
    </row>
    <row r="17">
      <c r="A17" s="2" t="inlineStr">
        <is>
          <t>SPT ZONA ORIENTE</t>
        </is>
      </c>
      <c r="B17" s="2">
        <v>1</v>
      </c>
    </row>
    <row r="18">
      <c r="A18" s="2" t="inlineStr">
        <is>
          <t>ZONA LAGOMAR</t>
        </is>
      </c>
      <c r="B18" s="2">
        <v>1</v>
      </c>
    </row>
    <row r="19">
      <c r="A19" s="2" t="inlineStr">
        <is>
          <t>ZONA SURORIENTE</t>
        </is>
      </c>
      <c r="B19" s="2">
        <v>1</v>
      </c>
    </row>
  </sheetData>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Nombre Resolutor</t>
        </is>
      </c>
      <c r="B1" s="1" t="inlineStr">
        <is>
          <t>Cantidad</t>
        </is>
      </c>
    </row>
    <row r="2">
      <c r="A2" s="2"/>
      <c r="B2" s="2">
        <v>1</v>
      </c>
    </row>
    <row r="3">
      <c r="A3" s="2" t="inlineStr">
        <is>
          <t>ALLISSON MAURICIO MORENO PABON</t>
        </is>
      </c>
      <c r="B3" s="2">
        <v>1</v>
      </c>
    </row>
    <row r="4">
      <c r="A4" s="2" t="inlineStr">
        <is>
          <t>ANDERSON JULIAN RATIVA RAMIREZ</t>
        </is>
      </c>
      <c r="B4" s="2">
        <v>5</v>
      </c>
    </row>
    <row r="5">
      <c r="A5" s="2" t="inlineStr">
        <is>
          <t>DANIEL ALEJANDRO BORDA MESTIZO</t>
        </is>
      </c>
      <c r="B5" s="2">
        <v>3</v>
      </c>
    </row>
    <row r="6">
      <c r="A6" s="2" t="inlineStr">
        <is>
          <t>DILAN SAMIR LOPEZ ARAUJO</t>
        </is>
      </c>
      <c r="B6" s="2">
        <v>1</v>
      </c>
    </row>
    <row r="7">
      <c r="A7" s="2" t="inlineStr">
        <is>
          <t>EDWIN ALEXIS PATIÑO TEJEDOR</t>
        </is>
      </c>
      <c r="B7" s="2">
        <v>1</v>
      </c>
    </row>
    <row r="8">
      <c r="A8" s="2" t="inlineStr">
        <is>
          <t>FABIAN JESSID PASTRANA AGUIRRE</t>
        </is>
      </c>
      <c r="B8" s="2">
        <v>19</v>
      </c>
    </row>
    <row r="9">
      <c r="A9" s="2" t="inlineStr">
        <is>
          <t>GERLYN RENTERIA OROZCO</t>
        </is>
      </c>
      <c r="B9" s="2">
        <v>2</v>
      </c>
    </row>
    <row r="10">
      <c r="A10" s="2" t="inlineStr">
        <is>
          <t>IVAN FELIPE GARCIA MANRIQUE</t>
        </is>
      </c>
      <c r="B10" s="2">
        <v>3</v>
      </c>
    </row>
    <row r="11">
      <c r="A11" s="2" t="inlineStr">
        <is>
          <t>JEISON ANDRES REYES ROMERO</t>
        </is>
      </c>
      <c r="B11" s="2">
        <v>1</v>
      </c>
    </row>
    <row r="12">
      <c r="A12" s="2" t="inlineStr">
        <is>
          <t>JUAN CAMILO RINCON BLANCO</t>
        </is>
      </c>
      <c r="B12" s="2">
        <v>6</v>
      </c>
    </row>
    <row r="13">
      <c r="A13" s="2" t="inlineStr">
        <is>
          <t>KEVIN ALEXIS GARCIA GUARACA</t>
        </is>
      </c>
      <c r="B13" s="2">
        <v>9</v>
      </c>
    </row>
    <row r="14">
      <c r="A14" s="2" t="inlineStr">
        <is>
          <t>MIGUEL JOSE NUÑEZ MARQUEZ</t>
        </is>
      </c>
      <c r="B14" s="2">
        <v>1</v>
      </c>
    </row>
    <row r="15">
      <c r="A15" s="2" t="inlineStr">
        <is>
          <t>NICK STEVE TRIANA LOPEZ</t>
        </is>
      </c>
      <c r="B15" s="2">
        <v>4</v>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Grupo</t>
        </is>
      </c>
      <c r="B1" s="1" t="inlineStr">
        <is>
          <t>Cantidad</t>
        </is>
      </c>
    </row>
    <row r="2">
      <c r="A2" s="2" t="inlineStr">
        <is>
          <t>SPT CABECERA CALLE 42</t>
        </is>
      </c>
      <c r="B2" s="2">
        <v>1</v>
      </c>
    </row>
    <row r="3">
      <c r="A3" s="2" t="inlineStr">
        <is>
          <t>SPT CABECERA CARRERA 60</t>
        </is>
      </c>
      <c r="B3" s="2">
        <v>1</v>
      </c>
    </row>
    <row r="4">
      <c r="A4" s="2" t="inlineStr">
        <is>
          <t>SPT CABECERA CARRERA 69</t>
        </is>
      </c>
      <c r="B4" s="2">
        <v>28</v>
      </c>
    </row>
    <row r="5">
      <c r="A5" s="2" t="inlineStr">
        <is>
          <t>SPT CABECERA KENNEDY</t>
        </is>
      </c>
      <c r="B5" s="2">
        <v>1</v>
      </c>
    </row>
    <row r="6">
      <c r="A6" s="2" t="inlineStr">
        <is>
          <t>SPT ZONA CENTRO</t>
        </is>
      </c>
      <c r="B6" s="2">
        <v>1</v>
      </c>
    </row>
    <row r="7">
      <c r="A7" s="2" t="inlineStr">
        <is>
          <t>SPT ZONA NORTE</t>
        </is>
      </c>
      <c r="B7" s="2">
        <v>1</v>
      </c>
    </row>
    <row r="8">
      <c r="A8" s="2" t="inlineStr">
        <is>
          <t>SPT ZONA OCCIDENTE</t>
        </is>
      </c>
      <c r="B8" s="2">
        <v>1</v>
      </c>
    </row>
    <row r="9">
      <c r="A9" s="2" t="inlineStr">
        <is>
          <t>ZONA CENTRO</t>
        </is>
      </c>
      <c r="B9" s="2">
        <v>20</v>
      </c>
    </row>
    <row r="10">
      <c r="A10" s="2" t="inlineStr">
        <is>
          <t>ZONA NOROCCIDENTE</t>
        </is>
      </c>
      <c r="B10" s="2">
        <v>1</v>
      </c>
    </row>
    <row r="11">
      <c r="A11" s="2" t="inlineStr">
        <is>
          <t>ZONA OCCIDENTE</t>
        </is>
      </c>
      <c r="B11" s="2">
        <v>2</v>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4.16" customWidth="1"/>
    <col min="2" max="2" width="41.536" customWidth="1"/>
    <col min="3" max="3" width="28.791999999999998" customWidth="1"/>
    <col min="5" max="5" width="21.003999999999998" customWidth="1"/>
  </cols>
  <sheetData>
    <row r="1">
      <c r="A1" s="1" t="inlineStr">
        <is>
          <t>🚦</t>
        </is>
      </c>
      <c r="B1" s="1" t="inlineStr">
        <is>
          <t>No Caso</t>
        </is>
      </c>
      <c r="C1" s="1" t="inlineStr">
        <is>
          <t>SLA Vencido</t>
        </is>
      </c>
      <c r="D1" s="1" t="inlineStr">
        <is>
          <t>Resumen</t>
        </is>
      </c>
      <c r="E1" s="1" t="inlineStr">
        <is>
          <t>Estado</t>
        </is>
      </c>
      <c r="F1" s="1" t="inlineStr">
        <is>
          <t>Descripción</t>
        </is>
      </c>
      <c r="G1" s="1" t="inlineStr">
        <is>
          <t>Categoria</t>
        </is>
      </c>
      <c r="H1" s="1" t="inlineStr">
        <is>
          <t>Fuente Reportada</t>
        </is>
      </c>
      <c r="I1" s="1" t="inlineStr">
        <is>
          <t>Prioridad</t>
        </is>
      </c>
      <c r="J1" s="1" t="inlineStr">
        <is>
          <t>Fecha de creación</t>
        </is>
      </c>
      <c r="K1" s="1" t="inlineStr">
        <is>
          <t>Asignado a</t>
        </is>
      </c>
      <c r="L1" s="1" t="inlineStr">
        <is>
          <t>Grupo</t>
        </is>
      </c>
      <c r="M1" s="1" t="inlineStr">
        <is>
          <t>Organización de Soporte</t>
        </is>
      </c>
      <c r="N1" s="1" t="inlineStr">
        <is>
          <t>CI</t>
        </is>
      </c>
      <c r="O1" s="1" t="inlineStr">
        <is>
          <t>Frente de Negocio</t>
        </is>
      </c>
      <c r="P1" s="1" t="inlineStr">
        <is>
          <t>Causa</t>
        </is>
      </c>
      <c r="Q1" s="1" t="inlineStr">
        <is>
          <t>InstanceId</t>
        </is>
      </c>
      <c r="R1" s="1" t="inlineStr">
        <is>
          <t>Antiguedad</t>
        </is>
      </c>
      <c r="S1" s="1" t="inlineStr">
        <is>
          <t>Fecha de Reactivación Pendiente</t>
        </is>
      </c>
      <c r="T1" s="1" t="inlineStr">
        <is>
          <t>Tiempo Incumplimiento previsto</t>
        </is>
      </c>
    </row>
    <row r="2">
      <c r="A2" s="2" t="inlineStr">
        <is>
          <t>🔴</t>
        </is>
      </c>
      <c r="B2" s="3" t="str">
        <f>HYPERLINK("https://compensar-smartit.onbmc.com/smartit/app/#/incident/IDGGSWY0I24JCAT7T48GT7T48GAF6X","INC000000150832")</f>
        <v>INC000000150832</v>
      </c>
      <c r="C2" s="2" t="inlineStr">
        <is>
          <t>Si</t>
        </is>
      </c>
      <c r="D2" s="2" t="inlineStr">
        <is>
          <t>ERROR EN EL APLICATIVO SAP AL MOMENTO DE CONSULTAR HISTORIAL CLICNICA DE PACIENTE</t>
        </is>
      </c>
      <c r="E2" s="2" t="inlineStr">
        <is>
          <t>En curso</t>
        </is>
      </c>
      <c r="F2" s="2" t="inlineStr">
        <is>
          <t>Usuaria: Angela Maria Sanchez Guevara
Informa: Usuaria reporta error en el aplicativo SAP al momento de consultar historial clínica en SAP y después de dar clic en aceptar el error las casa completamente del aplicativo SAP.
Teléfono: 3134905241
Ubicación: FACATATIVA PISO 3 CONSULTORIO 1
Tiempo: 11:44 07/07/2026
Impacto:  SAP
Evidencias: Se adjunta evidencia para cierre de caso</t>
        </is>
      </c>
      <c r="G2" s="2" t="inlineStr">
        <is>
          <t>SERVICIOS DE TECNOLOGIA-APLICACIONES DE NEGOCIO-ERROR FUNCIONALIDAD APLICACION</t>
        </is>
      </c>
      <c r="H2" s="2" t="inlineStr">
        <is>
          <t>Telefono</t>
        </is>
      </c>
      <c r="I2" s="2" t="inlineStr">
        <is>
          <t>Baja</t>
        </is>
      </c>
      <c r="J2" s="4">
        <v>46210.51008101852</v>
      </c>
      <c r="K2" s="2" t="inlineStr">
        <is>
          <t>NICK STEVE TRIANA LOPEZ</t>
        </is>
      </c>
      <c r="L2" s="2" t="inlineStr">
        <is>
          <t>SPT ZONA OCCIDENTE</t>
        </is>
      </c>
      <c r="M2" s="2" t="inlineStr">
        <is>
          <t>SERVICIOS DE TI</t>
        </is>
      </c>
      <c r="N2" s="2" t="inlineStr">
        <is>
          <t>SWPR136 SAP</t>
        </is>
      </c>
      <c r="O2" s="2" t="inlineStr">
        <is>
          <t>SALUD</t>
        </is>
      </c>
      <c r="P2" s="2"/>
      <c r="Q2" s="2" t="inlineStr">
        <is>
          <t>IDGGSWY0I24JCAT7T48GT7T48GAF6X</t>
        </is>
      </c>
      <c r="R2" s="2" t="inlineStr">
        <is>
          <t>c) 11-30</t>
        </is>
      </c>
      <c r="S2" s="2" t="inlineStr">
        <is>
          <t>-</t>
        </is>
      </c>
      <c r="T2" s="2" t="inlineStr">
        <is>
          <t>-</t>
        </is>
      </c>
    </row>
    <row r="3">
      <c r="A3" s="2" t="inlineStr">
        <is>
          <t>🔴</t>
        </is>
      </c>
      <c r="B3" s="3" t="str">
        <f>HYPERLINK("https://compensar-smartit.onbmc.com/smartit/app/#/incident/IDGGSWY0I24JCAT7UV54T7UV54P57L","INC000000150882")</f>
        <v>INC000000150882</v>
      </c>
      <c r="C3" s="2" t="inlineStr">
        <is>
          <t>Si</t>
        </is>
      </c>
      <c r="D3" s="2" t="inlineStr">
        <is>
          <t>EQUIPO SIN CONEXION A INTERNET</t>
        </is>
      </c>
      <c r="E3" s="2" t="inlineStr">
        <is>
          <t>En curso</t>
        </is>
      </c>
      <c r="F3" s="2" t="inlineStr">
        <is>
          <t>Usuario: LUZ DARY BENAVIDES CHAVARRO
Informa: La usuaria reporta que desde el día anterior el equipo permanece sin conexión a la red corporativa ni acceso a Internet. Se requiere realizar la validación de la conectividad física y lógica del punto de red asociado al equipo.
SEGUNDO NUMERO DE CONTACTO
3005157621
Ubicación: Cajicá, Sede Campestre, piso 1
Tiempo: 15:08 07/07/2026
Impacto: Usuarios afectados: 1
Placa de equipo: No especificada
Datos adicionales:
- Switch: 25808
- Puerto: 4
Evidencias:
1. Se recibe reporte de falta de conectividad a la red e Internet.
2. La usuaria informa que la novedad se presenta desde el día anterior.
3. Se valida la información suministrada por la usuaria.
4. Se identifica el punto de red asociado al switch 25808, puerto 4.
5. Se requiere validar el estado del puerto y la conectividad de red.
6. Se documenta la novedad reportada.
7. Se remite el caso para la validación correspondiente.</t>
        </is>
      </c>
      <c r="G3" s="2" t="inlineStr">
        <is>
          <t>SERVICIOS DE TECNOLOGIA-SOPORTE EQUIPOS DE COMPUTO-FALLA</t>
        </is>
      </c>
      <c r="H3" s="2" t="inlineStr">
        <is>
          <t>Telefono</t>
        </is>
      </c>
      <c r="I3" s="2" t="inlineStr">
        <is>
          <t>Baja</t>
        </is>
      </c>
      <c r="J3" s="4">
        <v>46211.30482638889</v>
      </c>
      <c r="K3" s="2" t="inlineStr">
        <is>
          <t>MIGUEL JOSE NUÑEZ MARQUEZ</t>
        </is>
      </c>
      <c r="L3" s="2" t="inlineStr">
        <is>
          <t>ZONA NORTE</t>
        </is>
      </c>
      <c r="M3" s="2" t="inlineStr">
        <is>
          <t>SERVICIOS DE TI</t>
        </is>
      </c>
      <c r="N3" s="2" t="inlineStr">
        <is>
          <t>SISTEMA OPERATIVO WINDOWS</t>
        </is>
      </c>
      <c r="O3" s="2" t="inlineStr">
        <is>
          <t>BIENESTAR Y DESARROLLO SOCIAL</t>
        </is>
      </c>
      <c r="P3" s="2" t="inlineStr">
        <is>
          <t>SOLUCION DEFINITIVA</t>
        </is>
      </c>
      <c r="Q3" s="2" t="inlineStr">
        <is>
          <t>IDGGSWY0I24JCAT7UV54T7UV54P57L</t>
        </is>
      </c>
      <c r="R3" s="2" t="inlineStr">
        <is>
          <t>c) 11-30</t>
        </is>
      </c>
      <c r="S3" s="2" t="inlineStr">
        <is>
          <t>-</t>
        </is>
      </c>
      <c r="T3" s="2" t="inlineStr">
        <is>
          <t>-</t>
        </is>
      </c>
    </row>
    <row r="4">
      <c r="A4" s="2" t="inlineStr">
        <is>
          <t>🟢</t>
        </is>
      </c>
      <c r="B4" s="3" t="str">
        <f>HYPERLINK("https://compensar-smartit.onbmc.com/smartit/app/#/incident/IDGH043EBA7IUAT7VMI1T7VMI1K5VU","INC000000151204")</f>
        <v>INC000000151204</v>
      </c>
      <c r="C4" s="2" t="inlineStr">
        <is>
          <t>No</t>
        </is>
      </c>
      <c r="D4" s="2" t="inlineStr">
        <is>
          <t>DESCARTES DE PRIMER NIVEL SEDE CHIA SAN ROQUE</t>
        </is>
      </c>
      <c r="E4" s="2" t="inlineStr">
        <is>
          <t>Pendiente</t>
        </is>
      </c>
      <c r="F4" s="2" t="inlineStr">
        <is>
          <t>Usuario: (Leonardo Abello) - NOC Network Operations Center
Informa: Usuario solicita descartes de primer nivel para la sede de CHIA SAN ROQUE.
Cedula: 1049619446
Celular: 6018418844
Ubicación: CHIA SAN ROQUE
Numero de activo del equipo AP-CHIA-SR-04 S/N: Q2LD-58UZ-4Z4R
Impacto: RED</t>
        </is>
      </c>
      <c r="G4" s="2" t="inlineStr">
        <is>
          <t>SERVICIOS DE TECNOLOGIA-REDES-FALLA CLIENTE RED INALAMBRICA</t>
        </is>
      </c>
      <c r="H4" s="2" t="inlineStr">
        <is>
          <t>Chat</t>
        </is>
      </c>
      <c r="I4" s="2" t="inlineStr">
        <is>
          <t>Baja</t>
        </is>
      </c>
      <c r="J4" s="4">
        <v>46211.706342592595</v>
      </c>
      <c r="K4" s="2" t="inlineStr">
        <is>
          <t>MIGUEL JOSE NUÑEZ MARQUEZ</t>
        </is>
      </c>
      <c r="L4" s="2" t="inlineStr">
        <is>
          <t>SPT ZONA NORTE</t>
        </is>
      </c>
      <c r="M4" s="2" t="inlineStr">
        <is>
          <t>SERVICIOS DE TI</t>
        </is>
      </c>
      <c r="N4" s="2" t="inlineStr">
        <is>
          <t>INTERNET</t>
        </is>
      </c>
      <c r="O4" s="2" t="inlineStr">
        <is>
          <t>SALUD</t>
        </is>
      </c>
      <c r="P4" s="2"/>
      <c r="Q4" s="2" t="inlineStr">
        <is>
          <t>IDGH043EBA7IUAT7VMI1T7VMI1K5VU</t>
        </is>
      </c>
      <c r="R4" s="2" t="inlineStr">
        <is>
          <t>c) 11-30</t>
        </is>
      </c>
      <c r="S4" s="2" t="inlineStr">
        <is>
          <t>-</t>
        </is>
      </c>
      <c r="T4" s="2" t="inlineStr">
        <is>
          <t>-</t>
        </is>
      </c>
    </row>
    <row r="5">
      <c r="A5" s="2" t="inlineStr">
        <is>
          <t>🟢</t>
        </is>
      </c>
      <c r="B5" s="3" t="str">
        <f>HYPERLINK("https://compensar-smartit.onbmc.com/smartit/app/#/incident/IDGGSWY0I24JCAT8GJHRT8GJHRRBGA","INC000000152002")</f>
        <v>INC000000152002</v>
      </c>
      <c r="C5" s="2" t="inlineStr">
        <is>
          <t>No</t>
        </is>
      </c>
      <c r="D5" s="2" t="inlineStr">
        <is>
          <t>Equipo fuera de dominio</t>
        </is>
      </c>
      <c r="E5" s="2" t="inlineStr">
        <is>
          <t>Pendiente</t>
        </is>
      </c>
      <c r="F5" s="2" t="inlineStr">
        <is>
          <t>Usuari@:Leisy Consuelo Rincon Figueroa
Informa: El usuario se comunica indicando que no le permite ingresar a el equipo se encuentra fuera de dominio 
Ubicación:casa 
Tiempo:10:49 a. m. 14/07/2026
Impacto: Usuarios afectados:1</t>
        </is>
      </c>
      <c r="G5" s="2" t="inlineStr">
        <is>
          <t>SERVICIOS DE TECNOLOGIA-APLICACIONES DE NEGOCIO-FALLA</t>
        </is>
      </c>
      <c r="H5" s="2" t="inlineStr">
        <is>
          <t>Telefono</t>
        </is>
      </c>
      <c r="I5" s="2" t="inlineStr">
        <is>
          <t>Baja</t>
        </is>
      </c>
      <c r="J5" s="4">
        <v>46217.45663194444</v>
      </c>
      <c r="K5" s="2" t="inlineStr">
        <is>
          <t>SANTIAGO PERDOMO ACERO</t>
        </is>
      </c>
      <c r="L5" s="2" t="inlineStr">
        <is>
          <t>ZONA CENTRO</t>
        </is>
      </c>
      <c r="M5" s="2" t="inlineStr">
        <is>
          <t>SERVICIOS DE TI</t>
        </is>
      </c>
      <c r="N5" s="2" t="inlineStr">
        <is>
          <t>SISTEMA OPERATIVO WINDOWS</t>
        </is>
      </c>
      <c r="O5" s="2" t="inlineStr">
        <is>
          <t>BIENESTAR Y DESARROLLO SOCIAL</t>
        </is>
      </c>
      <c r="P5" s="2"/>
      <c r="Q5" s="2" t="inlineStr">
        <is>
          <t>IDGGSWY0I24JCAT8GJHRT8GJHRRBGA</t>
        </is>
      </c>
      <c r="R5" s="2" t="inlineStr">
        <is>
          <t>b) 5-10</t>
        </is>
      </c>
      <c r="S5" s="2" t="inlineStr">
        <is>
          <t>24/07/2026 16:00:00</t>
        </is>
      </c>
      <c r="T5" s="2" t="inlineStr">
        <is>
          <t>-</t>
        </is>
      </c>
    </row>
    <row r="6">
      <c r="A6" s="2" t="inlineStr">
        <is>
          <t>🟢</t>
        </is>
      </c>
      <c r="B6" s="3" t="str">
        <f>HYPERLINK("https://compensar-smartit.onbmc.com/smartit/app/#/incident/AGGIBMZTENYZ6AT8GP5DT8GP5D3HT5","INC000000152155")</f>
        <v>INC000000152155</v>
      </c>
      <c r="C6" s="2" t="inlineStr">
        <is>
          <t>No</t>
        </is>
      </c>
      <c r="D6" s="2" t="inlineStr">
        <is>
          <t>Falla en Equipo</t>
        </is>
      </c>
      <c r="E6" s="2" t="inlineStr">
        <is>
          <t>Pendiente</t>
        </is>
      </c>
      <c r="F6" s="2" t="inlineStr">
        <is>
          <t>Ubicación para atención del Servicio: AGENCIA COLOCACION EMPLEO BOSA PISO 1 ADMINISTRACION
Número de contacto para la atención del servicio: 3114619355
Frente: BIENESTAR Y DESARROLLO SOCIAL
Falla: DAÑO FISICO
¿Cual es el dispositivo que presenta la falla?: [CABLES, CARGADOR/ADAPTADOR CORRIENTE]
Nombre de equipo (inventario o placa): P009413
Descripción del incidente o falla: &lt;AGENTE VIRTUAL&gt; el cargador del equipo portátil presenta fallas no carga
</t>
        </is>
      </c>
      <c r="G6" s="2" t="inlineStr">
        <is>
          <t>SERVICIOS DE TECNOLOGIA-SOPORTE EQUIPOS DE COMPUTO-FALLA</t>
        </is>
      </c>
      <c r="H6" s="2" t="inlineStr">
        <is>
          <t>ChatBot</t>
        </is>
      </c>
      <c r="I6" s="2" t="inlineStr">
        <is>
          <t>Baja</t>
        </is>
      </c>
      <c r="J6" s="4">
        <v>46217.69295138889</v>
      </c>
      <c r="K6" s="2" t="inlineStr">
        <is>
          <t>ANDERSON JULIAN RATIVA RAMIREZ</t>
        </is>
      </c>
      <c r="L6" s="2" t="inlineStr">
        <is>
          <t>SPT ZONA ORIENTE</t>
        </is>
      </c>
      <c r="M6" s="2" t="inlineStr">
        <is>
          <t>SERVICIOS DE TI</t>
        </is>
      </c>
      <c r="N6" s="2"/>
      <c r="O6" s="2" t="inlineStr">
        <is>
          <t>BIENESTAR Y DESARROLLO SOCIAL</t>
        </is>
      </c>
      <c r="P6" s="2"/>
      <c r="Q6" s="2" t="inlineStr">
        <is>
          <t>AGGIBMZTENYZ6AT8GP5DT8GP5D3HT5</t>
        </is>
      </c>
      <c r="R6" s="2" t="inlineStr">
        <is>
          <t>b) 5-10</t>
        </is>
      </c>
      <c r="S6" s="2" t="inlineStr">
        <is>
          <t>24/07/2026 18:00:00</t>
        </is>
      </c>
      <c r="T6" s="2" t="inlineStr">
        <is>
          <t>-</t>
        </is>
      </c>
    </row>
    <row r="7">
      <c r="A7" s="2" t="inlineStr">
        <is>
          <t>🟢</t>
        </is>
      </c>
      <c r="B7" s="3" t="str">
        <f>HYPERLINK("https://compensar-smartit.onbmc.com/smartit/app/#/incident/IDGIBMZTENYZ6AT8HZOHT8HZOHZPSH","INC000000152320")</f>
        <v>INC000000152320</v>
      </c>
      <c r="C7" s="2" t="inlineStr">
        <is>
          <t>No</t>
        </is>
      </c>
      <c r="D7" s="2" t="inlineStr">
        <is>
          <t>Falla en el funcionamiento de dispositivos USB</t>
        </is>
      </c>
      <c r="E7" s="2" t="inlineStr">
        <is>
          <t>Pendiente</t>
        </is>
      </c>
      <c r="F7" s="2" t="inlineStr">
        <is>
          <t>Usuario: Johan Stiven Cardenas Sanchez
Teléfono: 3007451518
CC: 1011082600
Informa: El usuario se comunica con la Mesa de Servicio indicando que ningún accesorio conectado por los puertos USB del equipo funciona correctamente.
Ubicación: Movilidad
Tiempo: 6:38 a. m. 15/07/2026
Impacto: El usuario no puede utilizar dispositivos USB necesarios para el desarrollo de sus actividades.
Placa de equipo: P0165225
Evidencias:
1. Se solicitaron evidencias del equipo completo y del inconveniente presentado.
2. Se recopiló la información suministrada por el usuario.
3. Se escaló el caso para la respectiva validación por parte del grupo responsable.</t>
        </is>
      </c>
      <c r="G7" s="2" t="inlineStr">
        <is>
          <t>SERVICIOS DE TECNOLOGIA-SOPORTE EQUIPOS DE COMPUTO-FALLA</t>
        </is>
      </c>
      <c r="H7" s="2" t="inlineStr">
        <is>
          <t>Telefono</t>
        </is>
      </c>
      <c r="I7" s="2" t="inlineStr">
        <is>
          <t>Baja</t>
        </is>
      </c>
      <c r="J7" s="4">
        <v>46218.38821759259</v>
      </c>
      <c r="K7" s="2" t="inlineStr">
        <is>
          <t>GERLYN RENTERIA OROZCO</t>
        </is>
      </c>
      <c r="L7" s="2" t="inlineStr">
        <is>
          <t>ZONA CENTRO</t>
        </is>
      </c>
      <c r="M7" s="2" t="inlineStr">
        <is>
          <t>SERVICIOS DE TI</t>
        </is>
      </c>
      <c r="N7" s="2"/>
      <c r="O7" s="2" t="inlineStr">
        <is>
          <t>BIENESTAR Y DESARROLLO SOCIAL</t>
        </is>
      </c>
      <c r="P7" s="2"/>
      <c r="Q7" s="2" t="inlineStr">
        <is>
          <t>IDGIBMZTENYZ6AT8HZOHT8HZOHZPSH</t>
        </is>
      </c>
      <c r="R7" s="2" t="inlineStr">
        <is>
          <t>b) 5-10</t>
        </is>
      </c>
      <c r="S7" s="2" t="inlineStr">
        <is>
          <t>24/07/2026 18:00:00</t>
        </is>
      </c>
      <c r="T7" s="2" t="inlineStr">
        <is>
          <t>-</t>
        </is>
      </c>
    </row>
    <row r="8">
      <c r="A8" s="2" t="inlineStr">
        <is>
          <t>🔴</t>
        </is>
      </c>
      <c r="B8" s="3" t="str">
        <f>HYPERLINK("https://compensar-smartit.onbmc.com/smartit/app/#/incident/IDGIBMZTENYZ6AT81NUAT81NUANBBG","INC000000152668")</f>
        <v>INC000000152668</v>
      </c>
      <c r="C8" s="2" t="inlineStr">
        <is>
          <t>Si</t>
        </is>
      </c>
      <c r="D8" s="2" t="inlineStr">
        <is>
          <t>Poco espacio en disco del equipo de cómputo</t>
        </is>
      </c>
      <c r="E8" s="2" t="inlineStr">
        <is>
          <t>En curso</t>
        </is>
      </c>
      <c r="F8" s="2" t="inlineStr">
        <is>
          <t>Usuario: La usuaria JULIETH KATHERIN GUTIERREZ BALLEN se comunica con la mesa de servicio para notificar que su equipo presenta poco espacio de almacenamiento.
Teléfono: 3212066976
Informa: La usuaria informa que su equipo presenta poco espacio en disco. Se realiza validación remota y se evidencia que el disco de almacenamiento se encuentra al límite de su capacidad. Se ejecuta el borrado de archivos temporales; sin embargo, se confirma que el disco continúa en su tope de capacidad.
Ubicación: ubate, Cundinamarca, piso 1, módulo 1.
Tiempo: 8:34 a. m. 17/07/2026.
Impacto: 1.
Placa de equipo: C005616.
Evidencias:
1. Se realiza conexión remota para validar la novedad reportada.
2. Se verifica el estado del almacenamiento del equipo.
3. Se evidencia que el disco se encuentra al límite de su capacidad.
4. Se realiza el borrado de archivos temporales.
5. Se confirma que el disco continúa en su tope de capacidad.
6. Se documenta la novedad para continuar con la gestión correspondiente.</t>
        </is>
      </c>
      <c r="G8" s="2" t="inlineStr">
        <is>
          <t>SERVICIOS DE TECNOLOGIA-SOPORTE EQUIPOS DE COMPUTO-LENTITUD</t>
        </is>
      </c>
      <c r="H8" s="2" t="inlineStr">
        <is>
          <t>Telefono</t>
        </is>
      </c>
      <c r="I8" s="2" t="inlineStr">
        <is>
          <t>Baja</t>
        </is>
      </c>
      <c r="J8" s="4">
        <v>46220.37252314815</v>
      </c>
      <c r="K8" s="2" t="inlineStr">
        <is>
          <t>DANIEL CAMILO BARRERO GALINDO</t>
        </is>
      </c>
      <c r="L8" s="2" t="inlineStr">
        <is>
          <t>SPT CABECERA CALLE 26</t>
        </is>
      </c>
      <c r="M8" s="2" t="inlineStr">
        <is>
          <t>SERVICIOS DE TI</t>
        </is>
      </c>
      <c r="N8" s="2" t="inlineStr">
        <is>
          <t>C005616</t>
        </is>
      </c>
      <c r="O8" s="2" t="inlineStr">
        <is>
          <t>SALUD</t>
        </is>
      </c>
      <c r="P8" s="2"/>
      <c r="Q8" s="2" t="inlineStr">
        <is>
          <t>IDGIBMZTENYZ6AT81NUAT81NUANBBG</t>
        </is>
      </c>
      <c r="R8" s="2" t="inlineStr">
        <is>
          <t>b) 5-10</t>
        </is>
      </c>
      <c r="S8" s="2" t="inlineStr">
        <is>
          <t>-</t>
        </is>
      </c>
      <c r="T8" s="2" t="inlineStr">
        <is>
          <t>-</t>
        </is>
      </c>
    </row>
    <row r="9">
      <c r="A9" s="2" t="inlineStr">
        <is>
          <t>🟢</t>
        </is>
      </c>
      <c r="B9" s="3" t="str">
        <f>HYPERLINK("https://compensar-smartit.onbmc.com/smartit/app/#/incident/AGGGSWY0I24JCAT89P1WT89P1WE03H","INC000000153267")</f>
        <v>INC000000153267</v>
      </c>
      <c r="C9" s="2" t="inlineStr">
        <is>
          <t>No</t>
        </is>
      </c>
      <c r="D9" s="2" t="inlineStr">
        <is>
          <t>Falla en Equipo</t>
        </is>
      </c>
      <c r="E9" s="2" t="inlineStr">
        <is>
          <t>Pendiente</t>
        </is>
      </c>
      <c r="F9" s="2" t="inlineStr">
        <is>
          <t>Ubicación para atención del Servicio: CSDE TORRE D PISO 0 VIVIENDA
Número de contacto para la atención del servicio: 3214698687
Frente: BIENESTAR Y DESARROLLO SOCIAL
Falla: NO ENCIENDE/NO FUNCIONA
¿Cual es el dispositivo que presenta la falla?: [PORTATIL/PC]
Nombre de equipo (inventario o placa): 17042
Descripción del incidente o falla: buenas tardes, amablemente solicito actualización de windows para el equipo no. Activo 17042 si es posible mañana 22 de julio en horas de la tarde, agradezco comunicarse al cel 3214698687 Natalia Sandoval, garcias
</t>
        </is>
      </c>
      <c r="G9" s="2" t="inlineStr">
        <is>
          <t>SERVICIOS DE TECNOLOGIA-SOPORTE EQUIPOS DE COMPUTO-FALLA</t>
        </is>
      </c>
      <c r="H9" s="2" t="inlineStr">
        <is>
          <t>Portal - Web</t>
        </is>
      </c>
      <c r="I9" s="2" t="inlineStr">
        <is>
          <t>Baja</t>
        </is>
      </c>
      <c r="J9" s="4">
        <v>46224.71162037037</v>
      </c>
      <c r="K9" s="2" t="inlineStr">
        <is>
          <t>ANDERSON JULIAN RATIVA RAMIREZ</t>
        </is>
      </c>
      <c r="L9" s="2" t="inlineStr">
        <is>
          <t>ZONA CENTRO</t>
        </is>
      </c>
      <c r="M9" s="2" t="inlineStr">
        <is>
          <t>SERVICIOS DE TI</t>
        </is>
      </c>
      <c r="N9" s="2" t="inlineStr">
        <is>
          <t>P017042</t>
        </is>
      </c>
      <c r="O9" s="2" t="inlineStr">
        <is>
          <t>BIENESTAR Y DESARROLLO SOCIAL</t>
        </is>
      </c>
      <c r="P9" s="2"/>
      <c r="Q9" s="2" t="inlineStr">
        <is>
          <t>AGGGSWY0I24JCAT89P1WT89P1WE03H</t>
        </is>
      </c>
      <c r="R9" s="2" t="inlineStr">
        <is>
          <t>a) 0-4</t>
        </is>
      </c>
      <c r="S9" s="2" t="inlineStr">
        <is>
          <t>29/07/2026 18:00:00</t>
        </is>
      </c>
      <c r="T9" s="2" t="inlineStr">
        <is>
          <t>-</t>
        </is>
      </c>
    </row>
    <row r="10">
      <c r="A10" s="2" t="inlineStr">
        <is>
          <t>🟢</t>
        </is>
      </c>
      <c r="B10" s="3" t="str">
        <f>HYPERLINK("https://compensar-smartit.onbmc.com/smartit/app/#/incident/IDGGSWY0I24JCAT89U91T89U91HW2X","INC000000153271")</f>
        <v>INC000000153271</v>
      </c>
      <c r="C10" s="2" t="inlineStr">
        <is>
          <t>No</t>
        </is>
      </c>
      <c r="D10" s="2" t="inlineStr">
        <is>
          <t>Falla Equipo - No enciende</t>
        </is>
      </c>
      <c r="E10" s="2" t="inlineStr">
        <is>
          <t>Pendiente</t>
        </is>
      </c>
      <c r="F10" s="2" t="inlineStr">
        <is>
          <t>Usuario: Francia Ramírez - Francy Falla 
Informa: No enciende, manifiesta que las puntas están golpeadas. 
📍 Ubicación: CUR PISO 1 ADMON
ACTIVOO: P013136
Tiempo: 18:56
Impacto: 1</t>
        </is>
      </c>
      <c r="G10" s="2" t="inlineStr">
        <is>
          <t>SERVICIOS DE TECNOLOGIA-SOPORTE EQUIPOS DE COMPUTO-DANO</t>
        </is>
      </c>
      <c r="H10" s="2" t="inlineStr">
        <is>
          <t>Telefono</t>
        </is>
      </c>
      <c r="I10" s="2" t="inlineStr">
        <is>
          <t>Baja</t>
        </is>
      </c>
      <c r="J10" s="4">
        <v>46224.792280092595</v>
      </c>
      <c r="K10" s="2" t="inlineStr">
        <is>
          <t>DILAN SAMIR LOPEZ ARAUJO</t>
        </is>
      </c>
      <c r="L10" s="2" t="inlineStr">
        <is>
          <t>ZONA CENTRO</t>
        </is>
      </c>
      <c r="M10" s="2" t="inlineStr">
        <is>
          <t>SERVICIOS DE TI</t>
        </is>
      </c>
      <c r="N10" s="2" t="inlineStr">
        <is>
          <t>P013136</t>
        </is>
      </c>
      <c r="O10" s="2" t="inlineStr">
        <is>
          <t>CLIENTES</t>
        </is>
      </c>
      <c r="P10" s="2"/>
      <c r="Q10" s="2" t="inlineStr">
        <is>
          <t>IDGGSWY0I24JCAT89U91T89U91HW2X</t>
        </is>
      </c>
      <c r="R10" s="2" t="inlineStr">
        <is>
          <t>a) 0-4</t>
        </is>
      </c>
      <c r="S10" s="2" t="inlineStr">
        <is>
          <t>24/07/2026 17:00:00</t>
        </is>
      </c>
      <c r="T10" s="2" t="inlineStr">
        <is>
          <t>-</t>
        </is>
      </c>
    </row>
    <row r="11">
      <c r="A11" s="2" t="inlineStr">
        <is>
          <t>🟢</t>
        </is>
      </c>
      <c r="B11" s="3" t="str">
        <f>HYPERLINK("https://compensar-smartit.onbmc.com/smartit/app/#/incident/AGGIBMZTENYZ6AT893CUT893CU58DW","INC000000153344")</f>
        <v>INC000000153344</v>
      </c>
      <c r="C11" s="2" t="inlineStr">
        <is>
          <t>No</t>
        </is>
      </c>
      <c r="D11" s="2" t="inlineStr">
        <is>
          <t>Falla en Equipo</t>
        </is>
      </c>
      <c r="E11" s="2" t="inlineStr">
        <is>
          <t>Pendiente</t>
        </is>
      </c>
      <c r="F11" s="2" t="inlineStr">
        <is>
          <t>Ubicación para atención del Servicio: CUR PISO 2 SALON OLIMPICA II
Número de contacto para la atención del servicio: 3103384699
Frente: BIENESTAR Y DESARROLLO SOCIAL
Falla: BLOQUEO
¿Cual es el dispositivo que presenta la falla?: [MONITOR, CABLES]
Nombre de equipo (inventario o placa): C176496
Descripción del incidente o falla: Cordial saludo
Solicito por favor, revisión del computador con activo C176496 del salón olímpica 2 ubicado en la sede cur primer piso, el cual no cuenta con red de internet, agradecemos su colaboración gracias.
</t>
        </is>
      </c>
      <c r="G11" s="2" t="inlineStr">
        <is>
          <t>SERVICIOS DE TECNOLOGIA-SOPORTE EQUIPOS DE COMPUTO-FALLA</t>
        </is>
      </c>
      <c r="H11" s="2" t="inlineStr">
        <is>
          <t>Portal - Web</t>
        </is>
      </c>
      <c r="I11" s="2" t="inlineStr">
        <is>
          <t>Baja</t>
        </is>
      </c>
      <c r="J11" s="4">
        <v>46224.52784722222</v>
      </c>
      <c r="K11" s="2" t="inlineStr">
        <is>
          <t>ANDERSON JULIAN RATIVA RAMIREZ</t>
        </is>
      </c>
      <c r="L11" s="2" t="inlineStr">
        <is>
          <t>ZONA CENTRO</t>
        </is>
      </c>
      <c r="M11" s="2" t="inlineStr">
        <is>
          <t>SERVICIOS DE TI</t>
        </is>
      </c>
      <c r="N11" s="2"/>
      <c r="O11" s="2" t="inlineStr">
        <is>
          <t>BIENESTAR Y DESARROLLO SOCIAL</t>
        </is>
      </c>
      <c r="P11" s="2"/>
      <c r="Q11" s="2" t="inlineStr">
        <is>
          <t>AGGIBMZTENYZ6AT893CUT893CU58DW</t>
        </is>
      </c>
      <c r="R11" s="2" t="inlineStr">
        <is>
          <t>a) 0-4</t>
        </is>
      </c>
      <c r="S11" s="2" t="inlineStr">
        <is>
          <t>24/07/2026 18:00:00</t>
        </is>
      </c>
      <c r="T11" s="2" t="inlineStr">
        <is>
          <t>-</t>
        </is>
      </c>
    </row>
    <row r="12">
      <c r="A12" s="2" t="inlineStr">
        <is>
          <t>🟢</t>
        </is>
      </c>
      <c r="B12" s="3" t="str">
        <f>HYPERLINK("https://compensar-smartit.onbmc.com/smartit/app/#/incident/AGGIBMZTENYZ6AT8KXRFT8KXRF2T6A","INC000000153433")</f>
        <v>INC000000153433</v>
      </c>
      <c r="C12" s="2" t="inlineStr">
        <is>
          <t>No</t>
        </is>
      </c>
      <c r="D12" s="2" t="inlineStr">
        <is>
          <t>Otras Fallas</t>
        </is>
      </c>
      <c r="E12" s="2" t="inlineStr">
        <is>
          <t>Pendiente</t>
        </is>
      </c>
      <c r="F12" s="2" t="inlineStr">
        <is>
          <t>Ubicación para atención del Servicio: BLOQUE F TORRE F PISO 3 CONVENIOS COMEDORES ESCOLARES
Número de contacto para la atención del servicio: 3144077430
Frente: BIENESTAR Y DESARROLLO SOCIAL
Afectación: OTRAS FALLAS
Nombre de equipo (inventario o placa): P024737
Descripción del incidente o falla: Internet demasiado lento.
Adjunto: [AGGGSWY0I24JCAT8KXRBT8KXRBP1KW]
</t>
        </is>
      </c>
      <c r="G12" s="2" t="inlineStr">
        <is>
          <t>SERVICIOS DE TECNOLOGIA-GESTION DE APLICACIONES-FALLA</t>
        </is>
      </c>
      <c r="H12" s="2" t="inlineStr">
        <is>
          <t>Portal - Web</t>
        </is>
      </c>
      <c r="I12" s="2" t="inlineStr">
        <is>
          <t>Baja</t>
        </is>
      </c>
      <c r="J12" s="4">
        <v>46225.377974537034</v>
      </c>
      <c r="K12" s="2" t="inlineStr">
        <is>
          <t>DANIEL ALEJANDRO BORDA MESTIZO</t>
        </is>
      </c>
      <c r="L12" s="2" t="inlineStr">
        <is>
          <t>ZONA CENTRO</t>
        </is>
      </c>
      <c r="M12" s="2" t="inlineStr">
        <is>
          <t>SERVICIOS DE TI</t>
        </is>
      </c>
      <c r="N12" s="2" t="inlineStr">
        <is>
          <t>P024737</t>
        </is>
      </c>
      <c r="O12" s="2" t="inlineStr">
        <is>
          <t>BIENESTAR Y DESARROLLO SOCIAL</t>
        </is>
      </c>
      <c r="P12" s="2"/>
      <c r="Q12" s="2" t="inlineStr">
        <is>
          <t>AGGIBMZTENYZ6AT8KXRFT8KXRF2T6A</t>
        </is>
      </c>
      <c r="R12" s="2" t="inlineStr">
        <is>
          <t>a) 0-4</t>
        </is>
      </c>
      <c r="S12" s="2" t="inlineStr">
        <is>
          <t>24/07/2026 21:00:00</t>
        </is>
      </c>
      <c r="T12" s="2" t="inlineStr">
        <is>
          <t>-</t>
        </is>
      </c>
    </row>
    <row r="13">
      <c r="A13" s="2" t="inlineStr">
        <is>
          <t>🟢</t>
        </is>
      </c>
      <c r="B13" s="3" t="str">
        <f>HYPERLINK("https://compensar-smartit.onbmc.com/smartit/app/#/incident/AGGGSWY0I24JCAT8LJFIT8LJFIHZU4","INC000000153548")</f>
        <v>INC000000153548</v>
      </c>
      <c r="C13" s="2" t="inlineStr">
        <is>
          <t>No</t>
        </is>
      </c>
      <c r="D13" s="2" t="inlineStr">
        <is>
          <t>Fallas de Aplicaciones</t>
        </is>
      </c>
      <c r="E13" s="2" t="inlineStr">
        <is>
          <t>Pendiente</t>
        </is>
      </c>
      <c r="F13" s="2" t="inlineStr">
        <is>
          <t>Ubicación para atención del Servicio: CSDE TORRE B PISO 4 SECRETARIA DIR UND FINANCIAMIENTO
Número de contacto para la atención del servicio: 3006588214
Frente: FINANCIAMIENTO Y ALIANZAS
Numero de Usuarios Afectados: 1
Fecha y hora en que se presenta el incidente:: 2026-07-22T18:08:00.000Z
Proceso al que pertenece (Sigla – Nombre): financiamiento
¿En qué sección de la aplicación ocurre el Error?: [MÓDULO]
¿Es Recurrente el Error?: SI
El error es: PROCESO BLOQUEANTE
¿Bajo qué casos particulares se presenta el error?: Buen día Quisiera por fa solicitar tu ayuda con lo siguiente.
Desde hace varias semanas he intentado de todas las maneras posibles que TI me ayude a solucionar unos inconvenientes que mi usuario presenta por reingreso, con el acceso a archivos compartidos, links entre otros que me comparte el equipo.
Este es un inconveniente que me está generando muchos retrasos e inconvenientes con las funciones que tengo que hacer porque no me permite trabajar en línea, descargar archivos ni abrirlos en web. Al parecer se quedó pegado mi usuario anterior y no han podido solucionar ni encontrar el problema.
https://compensar-my.sharepoint.com/:x:/p/lrquirogac/IQDvDfiuTR0BRa0e14Hc0UBwAY2GJSlqUPUqHR23UZmZ2HE?e=T2WcFW&amp;xsdata=MDV8MDJ8TUFTQU5ET1ZBTEZAY29tcGVuc2FyLmNvbXw3MTY3YmE4YWZiNWI0ZWIxM2NmNTA4ZGVlMmVhMGFhNnwwOGIyMTI3M2MyMzc0NWY4ODI3ZDhmOGMwNWRmNDFkZHwwfDB8NjM5MTk3NjkyMDAzMzgzMTY2fFVua25vd258VFdGcGJHWnNiM2Q4ZXlKRmJYQjBlVTFoY0draU9uUnlkV1VzSWxZaU9pSXdMakF1TURBd01DSXNJbEFpT2lKWGFXNHpNaUlzSWtGT0lqb2lUV0ZwYkNJc0lsZFVJam95ZlE9PXwwfHx8&amp;sdata=bkNPQ3JxRk5TZ2NFZ2c0UUhQYklJNDhCRTZDN01CcElucVYxcGNqZjRWND0%3d
https://docs.google.com/presentation/d/18IsneMQd9rLVijb-Y0Gwm1RO_NQNqj80/edit?usp=sharing&amp;ouid=106991847648312583747&amp;rtpof=true&amp;sd=true
https://compensar-my.sharepoint.com/:f:/p/lrquirogac/IgBsbtJUF8E7S5LMlOAKOxImAf8St7544YOJvLhHTk-1ffc?e=npxRJA&amp;xsdata=MDV8MDJ8TUFTQU5ET1ZBTEZAY29tcGVuc2FyLmNvbXw1Y2JlNmY0YjYwOGU0MWI1YjMxYTA4ZGVlMmNlMjI0ZHwwOGIyMTI3M2MyMzc0NWY4ODI3ZDhmOGMwNWRmNDFkZHwwfDB8NjM5MTk3NTcyNTc4MTg5MTI0fFVua25vd258VFdGcGJHWnNiM2Q4ZXlKRmJYQjBlVTFoY0draU9uUnlkV1VzSWxZaU9pSXdMakF1TURBd01DSXNJbEFpT2lKWGFXNHpNaUlzSWtGT0lqb2lUV0ZwYkNJc0lsZFVJam95ZlE9PXwwfHx8&amp;sdata=RUhrZDl3WjdNdWlhUk9Eb0R1MEZYK2puWUlnK1F1YU9VdUdSR3hJeUtPST0%3d
DATOS COLABORADOR María Angélica Sandoval Fernandez  celular 3006588214 gracias
Escriba detalladamente el error donde clarifique el flujo paso a paso de cómo se presentó: Buen día Quisiera por fa solicitar tu ayuda con lo siguiente.
Desde hace varias semanas he intentado de todas las maneras posibles que TI me ayude a solucionar unos inconvenientes que mi usuario presenta por reingreso, con el acceso a archivos compartidos, links entre otros que me comparte el equipo.
Este es un inconveniente que me está generando muchos retrasos e inconvenientes con las funciones que tengo que hacer porque no me permite trabajar en línea, descargar archivos ni abrirlos en web. Al parecer se quedó pegado mi usuario anterior y no han podido solucionar ni encontrar el problema.
https://compensar-my.sharepoint.com/:x:/p/lrquirogac/IQDvDfiuTR0BRa0e14Hc0UBwAY2GJSlqUPUqHR23UZmZ2HE?e=T2WcFW&amp;xsdata=MDV8MDJ8TUFTQU5ET1ZBTEZAY29tcGVuc2FyLmNvbXw3MTY3YmE4YWZiNWI0ZWIxM2NmNTA4ZGVlMmVhMGFhNnwwOGIyMTI3M2MyMzc0NWY4ODI3ZDhmOGMwNWRmNDFkZHwwfDB8NjM5MTk3NjkyMDAzMzgzMTY2fFVua25vd258VFdGcGJHWnNiM2Q4ZXlKRmJYQjBlVTFoY0draU9uUnlkV1VzSWxZaU9pSXdMakF1TURBd01DSXNJbEFpT2lKWGFXNHpNaUlzSWtGT0lqb2lUV0ZwYkNJc0lsZFVJam95ZlE9PXwwfHx8&amp;sdata=bkNPQ3JxRk5TZ2NFZ2c0UUhQYklJNDhCRTZDN01CcElucVYxcGNqZjRWND0%3d
https://docs.google.com/presentation/d/18IsneMQd9rLVijb-Y0Gwm1RO_NQNqj80/edit?usp=sharing&amp;ouid=106991847648312583747&amp;rtpof=true&amp;sd=true
https://compensar-my.sharepoint.com/:f:/p/lrquirogac/IgBsbtJUF8E7S5LMlOAKOxImAf8St7544YOJvLhHTk-1ffc?e=npxRJA&amp;xsdata=MDV8MDJ8TUFTQU5ET1ZBTEZAY29tcGVuc2FyLmNvbXw1Y2JlNmY0YjYwOGU0MWI1YjMxYTA4ZGVlMmNlMjI0ZHwwOGIyMTI3M2MyMzc0NWY4ODI3ZDhmOGMwNWRmNDFkZHwwfDB8NjM5MTk3NTcyNTc4MTg5MTI0fFVua25vd258VFdGcGJHWnNiM2Q4ZXlKRmJYQjBlVTFoY0draU9uUnlkV1VzSWxZaU9pSXdMakF1TURBd01DSXNJbEFpT2lKWGFXNHpNaUlzSWtGT0lqb2lUV0ZwYkNJc0lsZFVJam95ZlE9PXwwfHx8&amp;sdata=RUhrZDl3WjdNdWlhUk9Eb0R1MEZYK2puWUlnK1F1YU9VdUdSR3hJeUtPST0%3d
DATOS COLABORADOR María Angélica Sandoval Fernandez  celular 3006588214 gracias
</t>
        </is>
      </c>
      <c r="G13" s="2" t="inlineStr">
        <is>
          <t>SERVICIOS DE TECNOLOGIA-GESTION DE APLICACIONES-FALLA</t>
        </is>
      </c>
      <c r="H13" s="2" t="inlineStr">
        <is>
          <t>Portal - Web</t>
        </is>
      </c>
      <c r="I13" s="2" t="inlineStr">
        <is>
          <t>Baja</t>
        </is>
      </c>
      <c r="J13" s="4">
        <v>46225.548842592594</v>
      </c>
      <c r="K13" s="2" t="inlineStr">
        <is>
          <t>ANDERSON JULIAN RATIVA RAMIREZ</t>
        </is>
      </c>
      <c r="L13" s="2" t="inlineStr">
        <is>
          <t>ZONA CENTRO</t>
        </is>
      </c>
      <c r="M13" s="2" t="inlineStr">
        <is>
          <t>SERVICIOS DE TI</t>
        </is>
      </c>
      <c r="N13" s="2"/>
      <c r="O13" s="2" t="inlineStr">
        <is>
          <t>FINANCIAMIENTO Y ALIANZAS</t>
        </is>
      </c>
      <c r="P13" s="2"/>
      <c r="Q13" s="2" t="inlineStr">
        <is>
          <t>AGGGSWY0I24JCAT8LJFIT8LJFIHZU4</t>
        </is>
      </c>
      <c r="R13" s="2" t="inlineStr">
        <is>
          <t>a) 0-4</t>
        </is>
      </c>
      <c r="S13" s="2" t="inlineStr">
        <is>
          <t>24/07/2026 19:00:00</t>
        </is>
      </c>
      <c r="T13" s="2" t="inlineStr">
        <is>
          <t>-</t>
        </is>
      </c>
    </row>
    <row r="14">
      <c r="A14" s="2" t="inlineStr">
        <is>
          <t>🟠</t>
        </is>
      </c>
      <c r="B14" s="3" t="str">
        <f>HYPERLINK("https://compensar-smartit.onbmc.com/smartit/app/#/incident/AGGGSWY0I24JCAT8LP3JT8LP3JQ6F9","INC000000153579")</f>
        <v>INC000000153579</v>
      </c>
      <c r="C14" s="2" t="inlineStr">
        <is>
          <t>No</t>
        </is>
      </c>
      <c r="D14" s="2" t="inlineStr">
        <is>
          <t>Falla en Equipo</t>
        </is>
      </c>
      <c r="E14" s="2" t="inlineStr">
        <is>
          <t>En curso</t>
        </is>
      </c>
      <c r="F14" s="2" t="inlineStr">
        <is>
          <t>Ubicación para atención del Servicio: CSDE TORRE D PISO 2 GERENCIA SUBSIDIOS
Número de contacto para la atención del servicio: 3003674257
Frente: BIENESTAR Y DESARROLLO SOCIAL
Falla: BLOQUEO
¿Cual es el dispositivo que presenta la falla?: [TECLADO, PORTATIL/PC]
Nombre de equipo (inventario o placa): P022463
Descripción del incidente o falla: El día 17 de junio de 2026 tuve cambio de equipo, me asignaron el equipo P022463 y el día de hoy tuve inconvenientes de conexion con mi teclado inicialmente y posterior el equipo se quedaba sin red; llame a la mesa y con el incidente wo310838 estuvieron validando, me indicaron que pusiera el comando en CMD  ping 8.8.8.8 -t para validar el comportamiento de conexion pues más o menos cada 3 horas se cae la red; a las 6 de la tarde nuevamente se me cae y procedi a tomar la captura de lo que arrojo el CMD. adjunto evidencia caida (teams) y adjunto evidencia CMD.
Adjunto: [AGGIBMZTENYZ6AT8LP24T8LP240NKF, AGGIBMZTENYZ6AT8LP24T8LP240NKI]
</t>
        </is>
      </c>
      <c r="G14" s="2" t="inlineStr">
        <is>
          <t>SERVICIOS DE TECNOLOGIA-SOPORTE EQUIPOS DE COMPUTO-FALLA</t>
        </is>
      </c>
      <c r="H14" s="2" t="inlineStr">
        <is>
          <t>Portal - Web</t>
        </is>
      </c>
      <c r="I14" s="2" t="inlineStr">
        <is>
          <t>Baja</t>
        </is>
      </c>
      <c r="J14" s="4">
        <v>46225.7921875</v>
      </c>
      <c r="K14" s="2" t="inlineStr">
        <is>
          <t>KEVIN ALEXIS GARCIA GUARACA</t>
        </is>
      </c>
      <c r="L14" s="2" t="inlineStr">
        <is>
          <t>ZONA CENTRO</t>
        </is>
      </c>
      <c r="M14" s="2" t="inlineStr">
        <is>
          <t>SERVICIOS DE TI</t>
        </is>
      </c>
      <c r="N14" s="2"/>
      <c r="O14" s="2" t="inlineStr">
        <is>
          <t>BIENESTAR Y DESARROLLO SOCIAL</t>
        </is>
      </c>
      <c r="P14" s="2"/>
      <c r="Q14" s="2" t="inlineStr">
        <is>
          <t>AGGGSWY0I24JCAT8LP3JT8LP3JQ6F9</t>
        </is>
      </c>
      <c r="R14" s="2" t="inlineStr">
        <is>
          <t>a) 0-4</t>
        </is>
      </c>
      <c r="S14" s="2" t="inlineStr">
        <is>
          <t>-</t>
        </is>
      </c>
      <c r="T14" s="2" t="inlineStr">
        <is>
          <t>24/07/2026 11:00:45</t>
        </is>
      </c>
    </row>
    <row r="15">
      <c r="A15" s="2" t="inlineStr">
        <is>
          <t>🟠</t>
        </is>
      </c>
      <c r="B15" s="3" t="str">
        <f>HYPERLINK("https://compensar-smartit.onbmc.com/smartit/app/#/incident/IDGGSWY0I24JCAT8MLHRT8MLHRA6UH","INC000000153586")</f>
        <v>INC000000153586</v>
      </c>
      <c r="C15" s="2" t="inlineStr">
        <is>
          <t>No</t>
        </is>
      </c>
      <c r="D15" s="2" t="inlineStr">
        <is>
          <t>Falla de conexión de red en equipo corporativo</t>
        </is>
      </c>
      <c r="E15" s="2" t="inlineStr">
        <is>
          <t>Asignado</t>
        </is>
      </c>
      <c r="F15" s="2" t="inlineStr">
        <is>
          <t>Usuario: Cesar Eduardo Ospina Veloza
CC: 79981713
Tel: 3214419657
Informa: El funcionario informa que el equipo corporativo no cuenta con conexión a la red, impidiendo el acceso a los servicios y recursos corporativos requeridos para el desarrollo de sus actividades.
Ubicación: CUR - Torre: H Piso: Sótano 1 Área: Piscina
Tiempo: 6:15 a. m. 23/07/2026
Impacto: 1
Evidencias: Funcionario reporta que el equipo corporativo presenta inconvenientes de conectividad de red. Se requiere realizar las validaciones correspondientes para identificar la causa de la falla y restablecer la conexión.
Activo: P03415</t>
        </is>
      </c>
      <c r="G15" s="2" t="inlineStr">
        <is>
          <t>SERVICIOS DE TECNOLOGIA-APLICACIONES DE NEGOCIO-FALLA</t>
        </is>
      </c>
      <c r="H15" s="2" t="inlineStr">
        <is>
          <t>Telefono</t>
        </is>
      </c>
      <c r="I15" s="2" t="inlineStr">
        <is>
          <t>Baja</t>
        </is>
      </c>
      <c r="J15" s="4">
        <v>46226.27247685185</v>
      </c>
      <c r="K15" s="2" t="inlineStr">
        <is>
          <t>DILAN SAMIR LOPEZ ARAUJO</t>
        </is>
      </c>
      <c r="L15" s="2" t="inlineStr">
        <is>
          <t>ZONA CENTRO</t>
        </is>
      </c>
      <c r="M15" s="2" t="inlineStr">
        <is>
          <t>SERVICIOS DE TI</t>
        </is>
      </c>
      <c r="N15" s="2" t="inlineStr">
        <is>
          <t>SISTEMA OPERATIVO WINDOWS</t>
        </is>
      </c>
      <c r="O15" s="2" t="inlineStr">
        <is>
          <t>BIENESTAR Y DESARROLLO SOCIAL</t>
        </is>
      </c>
      <c r="P15" s="2"/>
      <c r="Q15" s="2" t="inlineStr">
        <is>
          <t>IDGGSWY0I24JCAT8MLHRT8MLHRA6UH</t>
        </is>
      </c>
      <c r="R15" s="2" t="inlineStr">
        <is>
          <t>a) 0-4</t>
        </is>
      </c>
      <c r="S15" s="2" t="inlineStr">
        <is>
          <t>-</t>
        </is>
      </c>
      <c r="T15" s="2" t="inlineStr">
        <is>
          <t>24/07/2026 12:32:22</t>
        </is>
      </c>
    </row>
    <row r="16">
      <c r="A16" s="2" t="inlineStr">
        <is>
          <t>🟢</t>
        </is>
      </c>
      <c r="B16" s="3" t="str">
        <f>HYPERLINK("https://compensar-smartit.onbmc.com/smartit/app/#/incident/IDGGSWY0I24JCAT8MMHGT8MMHGAUIB","INC000000153589")</f>
        <v>INC000000153589</v>
      </c>
      <c r="C16" s="2" t="inlineStr">
        <is>
          <t>No</t>
        </is>
      </c>
      <c r="D16" s="2" t="inlineStr">
        <is>
          <t>Unidad de CD – validación de bandejas</t>
        </is>
      </c>
      <c r="E16" s="2" t="inlineStr">
        <is>
          <t>Pendiente</t>
        </is>
      </c>
      <c r="F16" s="2" t="inlineStr">
        <is>
          <t>Usuario: Judy Jasbleidy Cifuentes Alonso
Descripción: La usuaria solicita validación de las bandejas de la unidad de CD para confirmar correcto funcionamiento y aptitud operativa.
Ubicación: Sede KR 60 Piso 12 – Administración Consultorios 13-14-15
Fecha y hora: 23/07/2026 – 06:49 a. m.
Impacto: Usuario afectado: 1
Placa del equipo: N/A
Evidencias/Procedimiento realizado:  
1.Se realizan validaciones iniciales y se registran evidencias del caso para el área encargada.
2.Se escala el caso al área correspondiente para su respectiva gestión.</t>
        </is>
      </c>
      <c r="G16" s="2" t="inlineStr">
        <is>
          <t>SERVICIOS DE TECNOLOGIA-SOPORTE EQUIPOS DE COMPUTO-FALLA</t>
        </is>
      </c>
      <c r="H16" s="2" t="inlineStr">
        <is>
          <t>Telefono</t>
        </is>
      </c>
      <c r="I16" s="2" t="inlineStr">
        <is>
          <t>Baja</t>
        </is>
      </c>
      <c r="J16" s="4">
        <v>46226.28989583333</v>
      </c>
      <c r="K16" s="2" t="inlineStr">
        <is>
          <t>DANIEL ALEJANDRO BORDA MESTIZO</t>
        </is>
      </c>
      <c r="L16" s="2" t="inlineStr">
        <is>
          <t>SPT CABECERA CARRERA 60</t>
        </is>
      </c>
      <c r="M16" s="2" t="inlineStr">
        <is>
          <t>SERVICIOS DE TI</t>
        </is>
      </c>
      <c r="N16" s="2" t="inlineStr">
        <is>
          <t>SISTEMA OPERATIVO WINDOWS</t>
        </is>
      </c>
      <c r="O16" s="2" t="inlineStr">
        <is>
          <t>SALUD</t>
        </is>
      </c>
      <c r="P16" s="2"/>
      <c r="Q16" s="2" t="inlineStr">
        <is>
          <t>IDGGSWY0I24JCAT8MMHGT8MMHGAUIB</t>
        </is>
      </c>
      <c r="R16" s="2" t="inlineStr">
        <is>
          <t>a) 0-4</t>
        </is>
      </c>
      <c r="S16" s="2" t="inlineStr">
        <is>
          <t>28/07/2026 21:00:00</t>
        </is>
      </c>
      <c r="T16" s="2" t="inlineStr">
        <is>
          <t>-</t>
        </is>
      </c>
    </row>
    <row r="17">
      <c r="A17" s="2" t="inlineStr">
        <is>
          <t>🟢</t>
        </is>
      </c>
      <c r="B17" s="3" t="str">
        <f>HYPERLINK("https://compensar-smartit.onbmc.com/smartit/app/#/incident/IDGIBMZTENYZ6AT8LMAPT8LMAPIY1Z","INC000000153605")</f>
        <v>INC000000153605</v>
      </c>
      <c r="C17" s="2" t="inlineStr">
        <is>
          <t>No</t>
        </is>
      </c>
      <c r="D17" s="2" t="inlineStr">
        <is>
          <t>Falla ingreso a windows APP</t>
        </is>
      </c>
      <c r="E17" s="2" t="inlineStr">
        <is>
          <t>Pendiente</t>
        </is>
      </c>
      <c r="F17" s="2" t="inlineStr">
        <is>
          <t>Usuario:DIANA CAROLINA OVALLE CARABALLO
Informa: Falla ingreso a windows APP EV PRESTACION SALUD NO CARGA
Ubicación: TELETRABAJO
Tiempo: 22-07-2026- 6:07PM
Impacto: 1         
Evidencias: NO</t>
        </is>
      </c>
      <c r="G17" s="2" t="inlineStr">
        <is>
          <t>SERVICIOS DE TECNOLOGIA-ESCRITORIOS VIRTUALES-FALLA DE ACCESO</t>
        </is>
      </c>
      <c r="H17" s="2" t="inlineStr">
        <is>
          <t>Telefono</t>
        </is>
      </c>
      <c r="I17" s="2" t="inlineStr">
        <is>
          <t>Baja</t>
        </is>
      </c>
      <c r="J17" s="4">
        <v>46225.74349537037</v>
      </c>
      <c r="K17" s="2" t="inlineStr">
        <is>
          <t>MICHAEL STEVEN FRAILE GOMEZ</t>
        </is>
      </c>
      <c r="L17" s="2" t="inlineStr">
        <is>
          <t>SPT ZONA SURORIENTE</t>
        </is>
      </c>
      <c r="M17" s="2" t="inlineStr">
        <is>
          <t>SERVICIOS DE TI</t>
        </is>
      </c>
      <c r="N17" s="2" t="inlineStr">
        <is>
          <t>ESCRITORIO VIRTUAL</t>
        </is>
      </c>
      <c r="O17" s="2" t="inlineStr">
        <is>
          <t>SALUD</t>
        </is>
      </c>
      <c r="P17" s="2"/>
      <c r="Q17" s="2" t="inlineStr">
        <is>
          <t>IDGIBMZTENYZ6AT8LMAPT8LMAPIY1Z</t>
        </is>
      </c>
      <c r="R17" s="2" t="inlineStr">
        <is>
          <t>a) 0-4</t>
        </is>
      </c>
      <c r="S17" s="2" t="inlineStr">
        <is>
          <t>27/07/2026 19:00:00</t>
        </is>
      </c>
      <c r="T17" s="2" t="inlineStr">
        <is>
          <t>-</t>
        </is>
      </c>
    </row>
    <row r="18">
      <c r="A18" s="2" t="inlineStr">
        <is>
          <t>🟢</t>
        </is>
      </c>
      <c r="B18" s="3" t="str">
        <f>HYPERLINK("https://compensar-smartit.onbmc.com/smartit/app/#/incident/IDGIBMZTENYZ6AT8LN37T8LN37JQBV","INC000000153607")</f>
        <v>INC000000153607</v>
      </c>
      <c r="C18" s="2" t="inlineStr">
        <is>
          <t>No</t>
        </is>
      </c>
      <c r="D18" s="2" t="inlineStr">
        <is>
          <t>Falla  ACTIVO compensar  007549 no permite acceder a teams</t>
        </is>
      </c>
      <c r="E18" s="2" t="inlineStr">
        <is>
          <t>Pendiente</t>
        </is>
      </c>
      <c r="F18" s="2" t="inlineStr">
        <is>
          <t>Usuario:DIANA CAROLINA OVALLE CARABALLO
Informa: Falla  ACTIVO compensar  007549 no permite acceder a teams
NOTA: 1.Se realiza limpieza de archivos temporales, se ejecutan comandos GPUPDATE /FORCE para forzar políticas se desinstala y instala nuevamente el teams se reinicia la maquina. persiste la novedad
Ubicación: TELETRABAJO
Tiempo: 22-07-2026- 6:19pm
Impacto: 1         
Evidencias: NO</t>
        </is>
      </c>
      <c r="G18" s="2" t="inlineStr">
        <is>
          <t>SERVICIOS DE TECNOLOGIA-PLATAFORMA TI-MICROSOFT 365 (TEAMS – EXCHANGE – ONE DRIVE)</t>
        </is>
      </c>
      <c r="H18" s="2" t="inlineStr">
        <is>
          <t>Telefono</t>
        </is>
      </c>
      <c r="I18" s="2" t="inlineStr">
        <is>
          <t>Baja</t>
        </is>
      </c>
      <c r="J18" s="4">
        <v>46225.76300925926</v>
      </c>
      <c r="K18" s="2" t="inlineStr">
        <is>
          <t>JOSE ARLEY SANCHEZ COLORADO</t>
        </is>
      </c>
      <c r="L18" s="2" t="inlineStr">
        <is>
          <t>SPT CABECERA CARRERA 69</t>
        </is>
      </c>
      <c r="M18" s="2" t="inlineStr">
        <is>
          <t>SERVICIOS DE TI</t>
        </is>
      </c>
      <c r="N18" s="2" t="inlineStr">
        <is>
          <t>OFFICE 365</t>
        </is>
      </c>
      <c r="O18" s="2" t="inlineStr">
        <is>
          <t>SALUD</t>
        </is>
      </c>
      <c r="P18" s="2"/>
      <c r="Q18" s="2" t="inlineStr">
        <is>
          <t>IDGIBMZTENYZ6AT8LN37T8LN37JQBV</t>
        </is>
      </c>
      <c r="R18" s="2" t="inlineStr">
        <is>
          <t>a) 0-4</t>
        </is>
      </c>
      <c r="S18" s="2" t="inlineStr">
        <is>
          <t>24/07/2026 20:00:00</t>
        </is>
      </c>
      <c r="T18" s="2" t="inlineStr">
        <is>
          <t>-</t>
        </is>
      </c>
    </row>
    <row r="19">
      <c r="A19" s="2" t="inlineStr">
        <is>
          <t>🟢</t>
        </is>
      </c>
      <c r="B19" s="3" t="str">
        <f>HYPERLINK("https://compensar-smartit.onbmc.com/smartit/app/#/incident/AGGIBMZTENYZ6AT8MU4OT8MU4ORTT0","INC000000153647")</f>
        <v>INC000000153647</v>
      </c>
      <c r="C19" s="2" t="inlineStr">
        <is>
          <t>No</t>
        </is>
      </c>
      <c r="D19" s="2" t="inlineStr">
        <is>
          <t>Falla en Equipo</t>
        </is>
      </c>
      <c r="E19" s="2" t="inlineStr">
        <is>
          <t>Pendiente</t>
        </is>
      </c>
      <c r="F19" s="2" t="inlineStr">
        <is>
          <t>Ubicación para atención del Servicio: HOSPITAL UNIVERSITARIO SAN RAFAEL COMPENSAR
Número de contacto para la atención del servicio: 3136013884
Frente: SALUD
Falla: DAÑO FISICO
¿Cual es el dispositivo que presenta la falla?: [OTRO]
Nombre de equipo (inventario o placa): 152800001282
Descripción del incidente o falla: Buenos dias agradezco su ayuda con la revision del equipo de escritorio ubicado en clinica san rafael area administrativa laboratorio clinico piso 1 ya que el equipo presenta lentitud , falla al ingreso de aplicaciones, bloqueo, ya se habia generado una solicitud y nos habian  comunicado que se iba a cambiar el disco dura a a solido pero nunca se genero el cambio agradecemos pronta respuesta
</t>
        </is>
      </c>
      <c r="G19" s="2" t="inlineStr">
        <is>
          <t>SERVICIOS DE TECNOLOGIA-SOPORTE EQUIPOS DE COMPUTO-FALLA</t>
        </is>
      </c>
      <c r="H19" s="2" t="inlineStr">
        <is>
          <t>Portal - Web</t>
        </is>
      </c>
      <c r="I19" s="2" t="inlineStr">
        <is>
          <t>Baja</t>
        </is>
      </c>
      <c r="J19" s="4">
        <v>46226.40777777778</v>
      </c>
      <c r="K19" s="2" t="inlineStr">
        <is>
          <t>MICHAEL STEVEN FRAILE GOMEZ</t>
        </is>
      </c>
      <c r="L19" s="2" t="inlineStr">
        <is>
          <t>SPT ZONA SURORIENTE</t>
        </is>
      </c>
      <c r="M19" s="2" t="inlineStr">
        <is>
          <t>SERVICIOS DE TI</t>
        </is>
      </c>
      <c r="N19" s="2"/>
      <c r="O19" s="2" t="inlineStr">
        <is>
          <t>SALUD</t>
        </is>
      </c>
      <c r="P19" s="2"/>
      <c r="Q19" s="2" t="inlineStr">
        <is>
          <t>AGGIBMZTENYZ6AT8MU4OT8MU4ORTT0</t>
        </is>
      </c>
      <c r="R19" s="2" t="inlineStr">
        <is>
          <t>a) 0-4</t>
        </is>
      </c>
      <c r="S19" s="2" t="inlineStr">
        <is>
          <t>24/07/2026 17:00:00</t>
        </is>
      </c>
      <c r="T19" s="2" t="inlineStr">
        <is>
          <t>-</t>
        </is>
      </c>
    </row>
    <row r="20">
      <c r="A20" s="2" t="inlineStr">
        <is>
          <t>🟢</t>
        </is>
      </c>
      <c r="B20" s="3" t="str">
        <f>HYPERLINK("https://compensar-smartit.onbmc.com/smartit/app/#/incident/AGGIBMZTENYZ6AT8MVF9T8MVF9S80U","INC000000153649")</f>
        <v>INC000000153649</v>
      </c>
      <c r="C20" s="2" t="inlineStr">
        <is>
          <t>No</t>
        </is>
      </c>
      <c r="D20" s="2" t="inlineStr">
        <is>
          <t>Falla en Equipo</t>
        </is>
      </c>
      <c r="E20" s="2" t="inlineStr">
        <is>
          <t>Pendiente</t>
        </is>
      </c>
      <c r="F20" s="2" t="inlineStr">
        <is>
          <t>Ubicación para atención del Servicio: HOSPITAL UNIVERSITARIO SAN RAFAEL COMPENSAR
Número de contacto para la atención del servicio: 3136013884
Frente: SALUD
Falla: DAÑO FISICO
¿Cual es el dispositivo que presenta la falla?: [OTRO]
Nombre de equipo (inventario o placa): 152800001019
Descripción del incidente o falla: Buenos dias agradezco su ayuda con la revision del equipo de escritorio ubicado en clinica san rafael area administrativa laboratorio clinico piso 1 ya que el equipo presenta lentitud , falla al ingreso de aplicaciones, bloqueo, activo 152800001019
</t>
        </is>
      </c>
      <c r="G20" s="2" t="inlineStr">
        <is>
          <t>SERVICIOS DE TECNOLOGIA-SOPORTE EQUIPOS DE COMPUTO-FALLA</t>
        </is>
      </c>
      <c r="H20" s="2" t="inlineStr">
        <is>
          <t>Portal - Web</t>
        </is>
      </c>
      <c r="I20" s="2" t="inlineStr">
        <is>
          <t>Baja</t>
        </is>
      </c>
      <c r="J20" s="4">
        <v>46226.418969907405</v>
      </c>
      <c r="K20" s="2" t="inlineStr">
        <is>
          <t>MICHAEL STEVEN FRAILE GOMEZ</t>
        </is>
      </c>
      <c r="L20" s="2" t="inlineStr">
        <is>
          <t>SPT ZONA SURORIENTE</t>
        </is>
      </c>
      <c r="M20" s="2" t="inlineStr">
        <is>
          <t>SERVICIOS DE TI</t>
        </is>
      </c>
      <c r="N20" s="2"/>
      <c r="O20" s="2" t="inlineStr">
        <is>
          <t>SALUD</t>
        </is>
      </c>
      <c r="P20" s="2"/>
      <c r="Q20" s="2" t="inlineStr">
        <is>
          <t>AGGIBMZTENYZ6AT8MVF9T8MVF9S80U</t>
        </is>
      </c>
      <c r="R20" s="2" t="inlineStr">
        <is>
          <t>a) 0-4</t>
        </is>
      </c>
      <c r="S20" s="2" t="inlineStr">
        <is>
          <t>24/07/2026 17:00:00</t>
        </is>
      </c>
      <c r="T20" s="2" t="inlineStr">
        <is>
          <t>-</t>
        </is>
      </c>
    </row>
    <row r="21">
      <c r="A21" s="2" t="inlineStr">
        <is>
          <t>🟢</t>
        </is>
      </c>
      <c r="B21" s="3" t="str">
        <f>HYPERLINK("https://compensar-smartit.onbmc.com/smartit/app/#/incident/AGGIBMZTENYZ6AT8MV67T8MV67SUJ9","INC000000153652")</f>
        <v>INC000000153652</v>
      </c>
      <c r="C21" s="2" t="inlineStr">
        <is>
          <t>No</t>
        </is>
      </c>
      <c r="D21" s="2" t="inlineStr">
        <is>
          <t>Fallas de Aplicaciones</t>
        </is>
      </c>
      <c r="E21" s="2" t="inlineStr">
        <is>
          <t>Pendiente</t>
        </is>
      </c>
      <c r="F21" s="2" t="inlineStr">
        <is>
          <t>Ubicación para atención del Servicio: HOSPITAL UNIVERSITARIO SAN RAFAEL COMPENSAR
Número de contacto para la atención del servicio: 3508264161
Frente: SALUD
Aplicación Afectada: SWEX08-ULTIMUS BPM
Numero de Usuarios Afectados: 4
Fecha y hora en que se presenta el incidente:: 2026-07-01T15:08:00.000Z
Proceso al que pertenece (Sigla – Nombre): salud
¿En qué sección de la aplicación ocurre el Error?: [MÓDULO]
¿Es Recurrente el Error?: SI
Recurrencia (en horas, días, meses): buenso dias, agradezco su ayuda con la aplicacion BPS SAP ya que no se puede ingresar al aplicativo lo que impide generar pedidos cambio de activos, etc,
El error es: PROCESO BLOQUEANTE
¿Bajo qué casos particulares se presenta el error?: al ingresar
Conoce alguna solución temporal que pueda aplicarse o que haya sido aplicada anteriormente?: no
Escriba detalladamente el error donde clarifique el flujo paso a paso de cómo se presentó: no ingresa a la aplicacion
Comportamiento esperado de la aplicación: que funcione
Adjunto: [AGGIBMZTENYZ6AT8MV4ZT8MV4ZSSFD]
</t>
        </is>
      </c>
      <c r="G21" s="2" t="inlineStr">
        <is>
          <t>SERVICIOS DE TECNOLOGIA-GESTION DE APLICACIONES-FALLA</t>
        </is>
      </c>
      <c r="H21" s="2" t="inlineStr">
        <is>
          <t>Portal - Web</t>
        </is>
      </c>
      <c r="I21" s="2" t="inlineStr">
        <is>
          <t>Baja</t>
        </is>
      </c>
      <c r="J21" s="4">
        <v>46226.423530092594</v>
      </c>
      <c r="K21" s="2" t="inlineStr">
        <is>
          <t>MICHAEL STEVEN FRAILE GOMEZ</t>
        </is>
      </c>
      <c r="L21" s="2" t="inlineStr">
        <is>
          <t>SPT ZONA SURORIENTE</t>
        </is>
      </c>
      <c r="M21" s="2" t="inlineStr">
        <is>
          <t>SERVICIOS DE TI</t>
        </is>
      </c>
      <c r="N21" s="2"/>
      <c r="O21" s="2" t="inlineStr">
        <is>
          <t>SALUD</t>
        </is>
      </c>
      <c r="P21" s="2"/>
      <c r="Q21" s="2" t="inlineStr">
        <is>
          <t>AGGIBMZTENYZ6AT8MV67T8MV67SUJ9</t>
        </is>
      </c>
      <c r="R21" s="2" t="inlineStr">
        <is>
          <t>a) 0-4</t>
        </is>
      </c>
      <c r="S21" s="2" t="inlineStr">
        <is>
          <t>24/07/2026 17:00:00</t>
        </is>
      </c>
      <c r="T21" s="2" t="inlineStr">
        <is>
          <t>-</t>
        </is>
      </c>
    </row>
    <row r="22">
      <c r="A22" s="2" t="inlineStr">
        <is>
          <t>🟢</t>
        </is>
      </c>
      <c r="B22" s="3" t="str">
        <f>HYPERLINK("https://compensar-smartit.onbmc.com/smartit/app/#/incident/IDGIBMZTENYZ6AT8MWBAT8MWBAT4JM","INC000000153657")</f>
        <v>INC000000153657</v>
      </c>
      <c r="C22" s="2" t="inlineStr">
        <is>
          <t>No</t>
        </is>
      </c>
      <c r="D22" s="2" t="inlineStr">
        <is>
          <t>Descartes de primer nivel</t>
        </is>
      </c>
      <c r="E22" s="2" t="inlineStr">
        <is>
          <t>Asignado</t>
        </is>
      </c>
      <c r="F22" s="2" t="inlineStr">
        <is>
          <t>usuario: NOC Network Operations Center
Tel:6018418844 opcion 1
Correo:NOC@compensarsalud.com
Informa:Solicito su ayuda generando un caso para descartes de primer nivel en la sede Chia San Roque, dado a que se evidencia caída de dos Acces Point. por favor
AP-CHIA-SR-05-MR52
Serial SW:FJC2324E15X
Puerto 44
Serial AP: Q2LD-WZWQ-P2FW
AP-SANROQUE-P3_SALON_6-MR42
Serial SW:FJC2325T001
Puerto 3
Serial AP: Q2KD-E9VD-LQ5J
Ubicación:  chis ,sanroque
Tiempo:10:26 a. m. 23/07/2026
Impacto:  1
Evidencias:</t>
        </is>
      </c>
      <c r="G22" s="2" t="inlineStr">
        <is>
          <t>SERVICIOS DE TECNOLOGIA-APLICACIONES DE NEGOCIO-FALLA</t>
        </is>
      </c>
      <c r="H22" s="2" t="inlineStr">
        <is>
          <t>Chat</t>
        </is>
      </c>
      <c r="I22" s="2" t="inlineStr">
        <is>
          <t>Baja</t>
        </is>
      </c>
      <c r="J22" s="4">
        <v>46226.44125</v>
      </c>
      <c r="K22" s="2" t="inlineStr">
        <is>
          <t>MIGUEL JOSE NUÑEZ MARQUEZ</t>
        </is>
      </c>
      <c r="L22" s="2" t="inlineStr">
        <is>
          <t>ZONA NORTE</t>
        </is>
      </c>
      <c r="M22" s="2" t="inlineStr">
        <is>
          <t>SERVICIOS DE TI</t>
        </is>
      </c>
      <c r="N22" s="2"/>
      <c r="O22" s="2" t="inlineStr">
        <is>
          <t>SALUD</t>
        </is>
      </c>
      <c r="P22" s="2"/>
      <c r="Q22" s="2" t="inlineStr">
        <is>
          <t>IDGIBMZTENYZ6AT8MWBAT8MWBAT4JM</t>
        </is>
      </c>
      <c r="R22" s="2" t="inlineStr">
        <is>
          <t>a) 0-4</t>
        </is>
      </c>
      <c r="S22" s="2" t="inlineStr">
        <is>
          <t>-</t>
        </is>
      </c>
      <c r="T22" s="2" t="inlineStr">
        <is>
          <t>24/07/2026 16:35:24</t>
        </is>
      </c>
    </row>
    <row r="23">
      <c r="A23" s="2" t="inlineStr">
        <is>
          <t>🟢</t>
        </is>
      </c>
      <c r="B23" s="3" t="str">
        <f>HYPERLINK("https://compensar-smartit.onbmc.com/smartit/app/#/incident/IDGIBMZTENYZ6AT8NB23T8NB23ZRM7","INC000000153677")</f>
        <v>INC000000153677</v>
      </c>
      <c r="C23" s="2" t="inlineStr">
        <is>
          <t>No</t>
        </is>
      </c>
      <c r="D23" s="2" t="inlineStr">
        <is>
          <t>Inconveniente con la búsqueda en el Explorador de archivos</t>
        </is>
      </c>
      <c r="E23" s="2" t="inlineStr">
        <is>
          <t>Asignado</t>
        </is>
      </c>
      <c r="F23" s="2" t="inlineStr">
        <is>
          <t>Usuario: Marily Paez Garcia
Teléfono: 3213219106
CC: 53045936
Informa: La usuaria se comunica con la Mesa de Servicio indicando que no puede realizar búsquedas en el Explorador de archivos.
Ubicación: Centro Nariño, Acueducto
Tiempo: 6:39 a. m. 23/07/2026
Evidencias:
1. Se realizó conexión remota al equipo de la usuaria.
2. Se validó el inconveniente presentado con la búsqueda en el Explorador de archivos.
3. Se reinició el servicio de Windows Search.
4. Se reinició la tarea del Explorador de archivos.
5. Se confirmó que el inconveniente persiste.
6. Se escaló el caso para la respectiva validación por parte del grupo responsable.</t>
        </is>
      </c>
      <c r="G23" s="2" t="inlineStr">
        <is>
          <t>SERVICIOS DE TECNOLOGIA-APLICACIONES DE NEGOCIO-FALLA</t>
        </is>
      </c>
      <c r="H23" s="2" t="inlineStr">
        <is>
          <t>Telefono</t>
        </is>
      </c>
      <c r="I23" s="2" t="inlineStr">
        <is>
          <t>Baja</t>
        </is>
      </c>
      <c r="J23" s="4">
        <v>46226.51326388889</v>
      </c>
      <c r="K23" s="2" t="inlineStr">
        <is>
          <t>SANTIAGO PERDOMO ACERO</t>
        </is>
      </c>
      <c r="L23" s="2" t="inlineStr">
        <is>
          <t>ZONA CENTRO</t>
        </is>
      </c>
      <c r="M23" s="2" t="inlineStr">
        <is>
          <t>SERVICIOS DE TI</t>
        </is>
      </c>
      <c r="N23" s="2" t="inlineStr">
        <is>
          <t>WINDOWS 10 PROFESSIONAL</t>
        </is>
      </c>
      <c r="O23" s="2" t="inlineStr">
        <is>
          <t>SALUD</t>
        </is>
      </c>
      <c r="P23" s="2"/>
      <c r="Q23" s="2" t="inlineStr">
        <is>
          <t>IDGIBMZTENYZ6AT8NB23T8NB23ZRM7</t>
        </is>
      </c>
      <c r="R23" s="2" t="inlineStr">
        <is>
          <t>a) 0-4</t>
        </is>
      </c>
      <c r="S23" s="2" t="inlineStr">
        <is>
          <t>-</t>
        </is>
      </c>
      <c r="T23" s="2" t="inlineStr">
        <is>
          <t>24/07/2026 18:19:06</t>
        </is>
      </c>
    </row>
    <row r="24">
      <c r="A24" s="2" t="inlineStr">
        <is>
          <t>🟢</t>
        </is>
      </c>
      <c r="B24" s="3" t="str">
        <f>HYPERLINK("https://compensar-smartit.onbmc.com/smartit/app/#/incident/IDGIBMZTENYZ6AT8NBUZT8NBUZA47R","INC000000153679")</f>
        <v>INC000000153679</v>
      </c>
      <c r="C24" s="2" t="inlineStr">
        <is>
          <t>No</t>
        </is>
      </c>
      <c r="D24" s="2" t="inlineStr">
        <is>
          <t>Falla en sistemas operativo en desktop C004157</t>
        </is>
      </c>
      <c r="E24" s="2" t="inlineStr">
        <is>
          <t>Pendiente</t>
        </is>
      </c>
      <c r="F24" s="2" t="inlineStr">
        <is>
          <t>Usuario: YULIANA JIMENA YANQUEN MOSO 
CC: 1033771551
Teléfono: 3134742829 
Informa: falla en sistemas operativo en desktop C004157 la usaría informa que se le realizo cambio de disco duro pero el equipo sigue igual adicionalmente manifiesta ese pc es fundamental para la operación, por otro se solicita prioridad alta para dar solución a este puesto de trabajo también manifiesta que si ellos cuentan con otro equipo que si es posible realizar el adecuamiento de este host mientras dan solución al desktop C004157
Ubicación: clínica nueva piso 3
Tiempo:  12:29 p. m. 23/07/2026
Impacto: 1</t>
        </is>
      </c>
      <c r="G24" s="2" t="inlineStr">
        <is>
          <t>SERVICIOS DE TECNOLOGIA-SOPORTE EQUIPOS DE COMPUTO-FALLA</t>
        </is>
      </c>
      <c r="H24" s="2" t="inlineStr">
        <is>
          <t>Telefono</t>
        </is>
      </c>
      <c r="I24" s="2" t="inlineStr">
        <is>
          <t>Baja</t>
        </is>
      </c>
      <c r="J24" s="4">
        <v>46226.52954861111</v>
      </c>
      <c r="K24" s="2" t="inlineStr">
        <is>
          <t>JEISON ANDRES REYES ROMERO</t>
        </is>
      </c>
      <c r="L24" s="2" t="inlineStr">
        <is>
          <t>ZONA ORIENTE</t>
        </is>
      </c>
      <c r="M24" s="2" t="inlineStr">
        <is>
          <t>SERVICIOS DE TI</t>
        </is>
      </c>
      <c r="N24" s="2" t="inlineStr">
        <is>
          <t>C004157</t>
        </is>
      </c>
      <c r="O24" s="2" t="inlineStr">
        <is>
          <t>SALUD</t>
        </is>
      </c>
      <c r="P24" s="2"/>
      <c r="Q24" s="2" t="inlineStr">
        <is>
          <t>IDGIBMZTENYZ6AT8NBUZT8NBUZA47R</t>
        </is>
      </c>
      <c r="R24" s="2" t="inlineStr">
        <is>
          <t>a) 0-4</t>
        </is>
      </c>
      <c r="S24" s="2" t="inlineStr">
        <is>
          <t>24/07/2026 17:00:00</t>
        </is>
      </c>
      <c r="T24" s="2" t="inlineStr">
        <is>
          <t>-</t>
        </is>
      </c>
    </row>
    <row r="25">
      <c r="A25" s="2" t="inlineStr">
        <is>
          <t>🟢</t>
        </is>
      </c>
      <c r="B25" s="3" t="str">
        <f>HYPERLINK("https://compensar-smartit.onbmc.com/smartit/app/#/incident/AGGIBMZTENYZ6AT8NCY6T8NCY6BMJ3","INC000000153684")</f>
        <v>INC000000153684</v>
      </c>
      <c r="C25" s="2" t="inlineStr">
        <is>
          <t>No</t>
        </is>
      </c>
      <c r="D25" s="2" t="inlineStr">
        <is>
          <t>Otras Fallas</t>
        </is>
      </c>
      <c r="E25" s="2" t="inlineStr">
        <is>
          <t>En curso</t>
        </is>
      </c>
      <c r="F25" s="2" t="inlineStr">
        <is>
          <t>Ubicación para atención del Servicio: SAN ROQUE PISO 1 CIRCULACIONES Y ZONAS DE ESPERA
Número de contacto para la atención del servicio: 3209645135
Frente: SALUD
Afectación: OTRAS FALLAS
Nombre de equipo (inventario o placa): INTERNET DE TODA LA SEDE
Descripción del incidente o falla: Buen día solicito de su colaboración con el seguimiento de las redes de la sede san roque 2 piso 6 ya que por temas externos a la compañía se esta retirando el cableado de internet en el sector por ENEL comparto comunicado que nos envío el centro comercial, soporte en sitio realizo validación de 1er nivel llegando a la conclusión de el cable de fibra caído. Se realizo pruebas (reinicio de rack con acompañamiento de mantenimiento)
Adjunto: [AGGGSWY0I24JCAT8NCXWT8NCXWMAQ4]
</t>
        </is>
      </c>
      <c r="G25" s="2" t="inlineStr">
        <is>
          <t>SERVICIOS DE TECNOLOGIA-GESTION DE APLICACIONES-FALLA</t>
        </is>
      </c>
      <c r="H25" s="2" t="inlineStr">
        <is>
          <t>Portal - Web</t>
        </is>
      </c>
      <c r="I25" s="2" t="inlineStr">
        <is>
          <t>Baja</t>
        </is>
      </c>
      <c r="J25" s="4">
        <v>46226.53601851852</v>
      </c>
      <c r="K25" s="2" t="inlineStr">
        <is>
          <t>MIGUEL JOSE NUÑEZ MARQUEZ</t>
        </is>
      </c>
      <c r="L25" s="2" t="inlineStr">
        <is>
          <t>ZONA NORTE</t>
        </is>
      </c>
      <c r="M25" s="2" t="inlineStr">
        <is>
          <t>SERVICIOS DE TI</t>
        </is>
      </c>
      <c r="N25" s="2"/>
      <c r="O25" s="2" t="inlineStr">
        <is>
          <t>SALUD</t>
        </is>
      </c>
      <c r="P25" s="2"/>
      <c r="Q25" s="2" t="inlineStr">
        <is>
          <t>AGGIBMZTENYZ6AT8NCY6T8NCY6BMJ3</t>
        </is>
      </c>
      <c r="R25" s="2" t="inlineStr">
        <is>
          <t>a) 0-4</t>
        </is>
      </c>
      <c r="S25" s="2" t="inlineStr">
        <is>
          <t>-</t>
        </is>
      </c>
      <c r="T25" s="2" t="inlineStr">
        <is>
          <t>24/07/2026 18:51:52</t>
        </is>
      </c>
    </row>
    <row r="26">
      <c r="A26" s="2" t="inlineStr">
        <is>
          <t>🟢</t>
        </is>
      </c>
      <c r="B26" s="3" t="str">
        <f>HYPERLINK("https://compensar-smartit.onbmc.com/smartit/app/#/incident/IDGIBMZTENYZ6AT8N1TTT8N1TT27W9","INC000000153696")</f>
        <v>INC000000153696</v>
      </c>
      <c r="C26" s="2" t="inlineStr">
        <is>
          <t>No</t>
        </is>
      </c>
      <c r="D26" s="2" t="inlineStr">
        <is>
          <t>Falla equipo presenta ruido interno adicional bloqueos y lentitud.</t>
        </is>
      </c>
      <c r="E26" s="2" t="inlineStr">
        <is>
          <t>Pendiente</t>
        </is>
      </c>
      <c r="F26" s="2" t="inlineStr">
        <is>
          <t>Usuario:DANICSA JOHANNA GONZALEZ MARTINEZ
Informa:Falla equipo presenta ruido interno adicional bloqueos y lentitud. activo  P010651
Ubicación :cra 69  SALA BALSO 2 PISO   UBICACION DE USUARIA  
Tiempo:23-07-2026  4:05pm
Impacto: 1         
Evidencias: NO</t>
        </is>
      </c>
      <c r="G26" s="2" t="inlineStr">
        <is>
          <t>SERVICIOS DE TECNOLOGIA-SOPORTE EQUIPOS DE COMPUTO-LENTITUD</t>
        </is>
      </c>
      <c r="H26" s="2" t="inlineStr">
        <is>
          <t>Telefono</t>
        </is>
      </c>
      <c r="I26" s="2" t="inlineStr">
        <is>
          <t>Baja</t>
        </is>
      </c>
      <c r="J26" s="4">
        <v>46226.670578703706</v>
      </c>
      <c r="K26" s="2" t="inlineStr">
        <is>
          <t>IVAN FELIPE GARCIA MANRIQUE</t>
        </is>
      </c>
      <c r="L26" s="2" t="inlineStr">
        <is>
          <t>SPT CABECERA CARRERA 69</t>
        </is>
      </c>
      <c r="M26" s="2" t="inlineStr">
        <is>
          <t>SERVICIOS DE TI</t>
        </is>
      </c>
      <c r="N26" s="2" t="inlineStr">
        <is>
          <t>P010651</t>
        </is>
      </c>
      <c r="O26" s="2" t="inlineStr">
        <is>
          <t>SALUD</t>
        </is>
      </c>
      <c r="P26" s="2"/>
      <c r="Q26" s="2" t="inlineStr">
        <is>
          <t>IDGIBMZTENYZ6AT8N1TTT8N1TT27W9</t>
        </is>
      </c>
      <c r="R26" s="2" t="inlineStr">
        <is>
          <t>a) 0-4</t>
        </is>
      </c>
      <c r="S26" s="2" t="inlineStr">
        <is>
          <t>24/07/2026 20:00:00</t>
        </is>
      </c>
      <c r="T26" s="2" t="inlineStr">
        <is>
          <t>-</t>
        </is>
      </c>
    </row>
    <row r="27">
      <c r="A27" s="2" t="inlineStr">
        <is>
          <t>🟢</t>
        </is>
      </c>
      <c r="B27" s="3" t="str">
        <f>HYPERLINK("https://compensar-smartit.onbmc.com/smartit/app/#/incident/IDGIBMZTENYZ6AT8N2X2T8N2X23LOG","INC000000153698")</f>
        <v>INC000000153698</v>
      </c>
      <c r="C27" s="2" t="inlineStr">
        <is>
          <t>No</t>
        </is>
      </c>
      <c r="D27" s="2" t="inlineStr">
        <is>
          <t>Lentitud en PC</t>
        </is>
      </c>
      <c r="E27" s="2" t="inlineStr">
        <is>
          <t>Asignado</t>
        </is>
      </c>
      <c r="F27" s="2" t="inlineStr">
        <is>
          <t>Usuario: CC 1023920958 LADY JOHANA TORRES TOCARRUNCHO.
Informa: Lentitud en PC.
Ubicación: Fontibón piso 1 oficina administración oral.
Tiempo: 4:25 p. m. 23/07/2026.
Impacto: C006416.
Evidencias: Liberación de temporales, eliminación de cookies y cache, actualización de navegadores, liberación de disco, reinicio de PC, Después de las validaciones de primer nivel, la falla persiste.</t>
        </is>
      </c>
      <c r="G27" s="2" t="inlineStr">
        <is>
          <t>SERVICIOS DE TECNOLOGIA-SOPORTE EQUIPOS DE COMPUTO-LENTITUD</t>
        </is>
      </c>
      <c r="H27" s="2" t="inlineStr">
        <is>
          <t>Telefono</t>
        </is>
      </c>
      <c r="I27" s="2" t="inlineStr">
        <is>
          <t>Baja</t>
        </is>
      </c>
      <c r="J27" s="4">
        <v>46226.694606481484</v>
      </c>
      <c r="K27" s="2" t="inlineStr">
        <is>
          <t>NICK STEVE TRIANA LOPEZ</t>
        </is>
      </c>
      <c r="L27" s="2" t="inlineStr">
        <is>
          <t>SPT ZONA OCCIDENTE</t>
        </is>
      </c>
      <c r="M27" s="2" t="inlineStr">
        <is>
          <t>SERVICIOS DE TI</t>
        </is>
      </c>
      <c r="N27" s="2" t="inlineStr">
        <is>
          <t>C006416</t>
        </is>
      </c>
      <c r="O27" s="2" t="inlineStr">
        <is>
          <t>SALUD</t>
        </is>
      </c>
      <c r="P27" s="2"/>
      <c r="Q27" s="2" t="inlineStr">
        <is>
          <t>IDGIBMZTENYZ6AT8N2X2T8N2X23LOG</t>
        </is>
      </c>
      <c r="R27" s="2" t="inlineStr">
        <is>
          <t>a) 0-4</t>
        </is>
      </c>
      <c r="S27" s="2" t="inlineStr">
        <is>
          <t>-</t>
        </is>
      </c>
      <c r="T27" s="2" t="inlineStr">
        <is>
          <t>24/07/2026 09:40:14</t>
        </is>
      </c>
    </row>
    <row r="28">
      <c r="A28" s="2" t="inlineStr">
        <is>
          <t>🟢</t>
        </is>
      </c>
      <c r="B28" s="3" t="str">
        <f>HYPERLINK("https://compensar-smartit.onbmc.com/smartit/app/#/incident/IDGIBMZTENYZ6AT8N3ECT8N3EC3SOX","INC000000153699")</f>
        <v>INC000000153699</v>
      </c>
      <c r="C28" s="2" t="inlineStr">
        <is>
          <t>No</t>
        </is>
      </c>
      <c r="D28" s="2" t="inlineStr">
        <is>
          <t>Error al conectarse al es criterio remoto</t>
        </is>
      </c>
      <c r="E28" s="2" t="inlineStr">
        <is>
          <t>Asignado</t>
        </is>
      </c>
      <c r="F28" s="2" t="inlineStr">
        <is>
          <t>Usuario: LADY KARINA ABRIL JIMENEZ
CC: 52522663
Teléfono: 3125927504
Informa: Error al conectarse al es criterio remoto
Ubicación: calle 134 piso 11
Tiempo: 3:49 p. m. 23/07/2026
Impacto: 1
Evidencias:</t>
        </is>
      </c>
      <c r="G28" s="2" t="inlineStr">
        <is>
          <t>SERVICIOS DE TECNOLOGIA-GESTION DE ACCESOS-BLOQUEO CUENTA DE WINDOWS</t>
        </is>
      </c>
      <c r="H28" s="2" t="inlineStr">
        <is>
          <t>Telefono</t>
        </is>
      </c>
      <c r="I28" s="2" t="inlineStr">
        <is>
          <t>Baja</t>
        </is>
      </c>
      <c r="J28" s="4">
        <v>46226.69216435185</v>
      </c>
      <c r="K28" s="2" t="inlineStr">
        <is>
          <t>EDWIN ALEXIS PATIÑO TEJEDOR</t>
        </is>
      </c>
      <c r="L28" s="2" t="inlineStr">
        <is>
          <t>SPT ZONA NORTE</t>
        </is>
      </c>
      <c r="M28" s="2" t="inlineStr">
        <is>
          <t>SERVICIOS DE TI</t>
        </is>
      </c>
      <c r="N28" s="2" t="inlineStr">
        <is>
          <t>WINDOWS 10 PROFESSIONAL</t>
        </is>
      </c>
      <c r="O28" s="2" t="inlineStr">
        <is>
          <t>SALUD</t>
        </is>
      </c>
      <c r="P28" s="2"/>
      <c r="Q28" s="2" t="inlineStr">
        <is>
          <t>IDGIBMZTENYZ6AT8N3ECT8N3EC3SOX</t>
        </is>
      </c>
      <c r="R28" s="2" t="inlineStr">
        <is>
          <t>a) 0-4</t>
        </is>
      </c>
      <c r="S28" s="2" t="inlineStr">
        <is>
          <t>-</t>
        </is>
      </c>
      <c r="T28" s="2" t="inlineStr">
        <is>
          <t>24/07/2026 09:36:43</t>
        </is>
      </c>
    </row>
    <row r="29">
      <c r="A29" s="2" t="inlineStr">
        <is>
          <t>🟢</t>
        </is>
      </c>
      <c r="B29" s="3" t="str">
        <f>HYPERLINK("https://compensar-smartit.onbmc.com/smartit/app/#/incident/IDGGSWY0I24JCAT8MU4HT8MU4H1FWV","INC000000153724")</f>
        <v>INC000000153724</v>
      </c>
      <c r="C29" s="2" t="inlineStr">
        <is>
          <t>No</t>
        </is>
      </c>
      <c r="D29" s="2" t="inlineStr">
        <is>
          <t>Pantalla negra EV</t>
        </is>
      </c>
      <c r="E29" s="2" t="inlineStr">
        <is>
          <t>Pendiente</t>
        </is>
      </c>
      <c r="F29" s="2" t="inlineStr">
        <is>
          <t>Usuario:    Mayra Alejandra Vega Murcia
CC:         1032404040
Tel:        3225954784
Informa:    La colaboradora reporta que al ingresar a Windows App desde la URL, el escritorio virtual se visualiza en negro. No es posible realizar validaciones adicionales debido a que se encuentra en atención al usuario.
Ubicación:  Empresa CMA - Teletrabajo EV Perfil 4
Tiempo:     6:30
Impacto:    1
Evidencias: No es posible adjuntarlas, ya que la colaboradora se encuentra en atención al usuario.</t>
        </is>
      </c>
      <c r="G29" s="2" t="inlineStr">
        <is>
          <t>SERVICIOS DE TECNOLOGIA-ESCRITORIOS VIRTUALES-CONEXION FALLIDA</t>
        </is>
      </c>
      <c r="H29" s="2" t="inlineStr">
        <is>
          <t>Telefono</t>
        </is>
      </c>
      <c r="I29" s="2" t="inlineStr">
        <is>
          <t>Baja</t>
        </is>
      </c>
      <c r="J29" s="4">
        <v>46226.409224537034</v>
      </c>
      <c r="K29" s="2" t="inlineStr">
        <is>
          <t>DANIEL ALFONSO MENDOZA BARBOSA</t>
        </is>
      </c>
      <c r="L29" s="2" t="inlineStr">
        <is>
          <t>SPT ESCRITORIO VIRTUAL</t>
        </is>
      </c>
      <c r="M29" s="2" t="inlineStr">
        <is>
          <t>SERVICIOS DE TI</t>
        </is>
      </c>
      <c r="N29" s="2" t="inlineStr">
        <is>
          <t>ESCRITORIO VIRTUAL</t>
        </is>
      </c>
      <c r="O29" s="2" t="inlineStr">
        <is>
          <t>SALUD</t>
        </is>
      </c>
      <c r="P29" s="2"/>
      <c r="Q29" s="2" t="inlineStr">
        <is>
          <t>IDGGSWY0I24JCAT8MU4HT8MU4H1FWV</t>
        </is>
      </c>
      <c r="R29" s="2" t="inlineStr">
        <is>
          <t>a) 0-4</t>
        </is>
      </c>
      <c r="S29" s="2" t="inlineStr">
        <is>
          <t>24/07/2026 19:00:00</t>
        </is>
      </c>
      <c r="T29" s="2" t="inlineStr">
        <is>
          <t>-</t>
        </is>
      </c>
    </row>
    <row r="30">
      <c r="A30" s="2" t="inlineStr">
        <is>
          <t>🟢</t>
        </is>
      </c>
      <c r="B30" s="3" t="str">
        <f>HYPERLINK("https://compensar-smartit.onbmc.com/smartit/app/#/incident/AGGGSWY0I24JCAT8MUZRT8MUZR1X0O","INC000000153727")</f>
        <v>INC000000153727</v>
      </c>
      <c r="C30" s="2" t="inlineStr">
        <is>
          <t>No</t>
        </is>
      </c>
      <c r="D30" s="2" t="inlineStr">
        <is>
          <t>Falla en Equipo</t>
        </is>
      </c>
      <c r="E30" s="2" t="inlineStr">
        <is>
          <t>Pendiente</t>
        </is>
      </c>
      <c r="F30" s="2" t="inlineStr">
        <is>
          <t>Ubicación para atención del Servicio: HOSPITAL UNIVERSITARIO SAN RAFAEL COMPENSAR
Número de contacto para la atención del servicio: 3118964071
Frente: SALUD
Falla: DAÑO FISICO
¿Cual es el dispositivo que presenta la falla?: [OTRO]
Nombre de equipo (inventario o placa): 15280000607
Descripción del incidente o falla: Buenos dias agradezco su ayuda con la revision del equipo de escritorio ubicado en clinica san rafael area administrativa laboratorio clinico piso 1 ya que el equipo al parecer no tiene red compensar, este equipo venia funcionando normalmente pero de un dia para otro ya no podemos conectarnos contacto zully 3118964071
</t>
        </is>
      </c>
      <c r="G30" s="2" t="inlineStr">
        <is>
          <t>SERVICIOS DE TECNOLOGIA-SOPORTE EQUIPOS DE COMPUTO-FALLA</t>
        </is>
      </c>
      <c r="H30" s="2" t="inlineStr">
        <is>
          <t>Portal - Web</t>
        </is>
      </c>
      <c r="I30" s="2" t="inlineStr">
        <is>
          <t>Baja</t>
        </is>
      </c>
      <c r="J30" s="4">
        <v>46226.4165625</v>
      </c>
      <c r="K30" s="2" t="inlineStr">
        <is>
          <t>MICHAEL STEVEN FRAILE GOMEZ</t>
        </is>
      </c>
      <c r="L30" s="2" t="inlineStr">
        <is>
          <t>SPT ZONA SURORIENTE</t>
        </is>
      </c>
      <c r="M30" s="2" t="inlineStr">
        <is>
          <t>SERVICIOS DE TI</t>
        </is>
      </c>
      <c r="N30" s="2"/>
      <c r="O30" s="2" t="inlineStr">
        <is>
          <t>SALUD</t>
        </is>
      </c>
      <c r="P30" s="2"/>
      <c r="Q30" s="2" t="inlineStr">
        <is>
          <t>AGGGSWY0I24JCAT8MUZRT8MUZR1X0O</t>
        </is>
      </c>
      <c r="R30" s="2" t="inlineStr">
        <is>
          <t>a) 0-4</t>
        </is>
      </c>
      <c r="S30" s="2" t="inlineStr">
        <is>
          <t>24/07/2026 17:00:00</t>
        </is>
      </c>
      <c r="T30" s="2" t="inlineStr">
        <is>
          <t>-</t>
        </is>
      </c>
    </row>
    <row r="31">
      <c r="A31" s="2" t="inlineStr">
        <is>
          <t>🟢</t>
        </is>
      </c>
      <c r="B31" s="3" t="str">
        <f>HYPERLINK("https://compensar-smartit.onbmc.com/smartit/app/#/incident/AGGGSWY0I24JCAT8MW5FT8MW5F3S2L","INC000000153733")</f>
        <v>INC000000153733</v>
      </c>
      <c r="C31" s="2" t="inlineStr">
        <is>
          <t>No</t>
        </is>
      </c>
      <c r="D31" s="2" t="inlineStr">
        <is>
          <t>Fallas de Aplicaciones</t>
        </is>
      </c>
      <c r="E31" s="2" t="inlineStr">
        <is>
          <t>En curso</t>
        </is>
      </c>
      <c r="F31" s="2" t="inlineStr">
        <is>
          <t>Ubicación para atención del Servicio: BLOQUE F TORRE F PISO 1 CIRCULACION
Número de contacto para la atención del servicio: 3204810607
Frente: BIENESTAR Y DESARROLLO SOCIAL
Aplicación Afectada: OFFICE 365
Numero de Usuarios Afectados: 1
Fecha y hora en que se presenta el incidente:: 2026-07-01T16:53:00.000Z
Proceso al que pertenece (Sigla – Nombre): Recursos
¿En qué sección de la aplicación ocurre el Error?: [OPCIÓN]
¿Es Recurrente el Error?: NO
El error es: PROCESO BLOQUEANTE
¿Bajo qué casos particulares se presenta el error?: Agradecemos de su amable apoyo contactar a la usuaria Edilberto Manuel Viola Miranda - 1067844561 cel 3204810607, por capacidad llena en su correo y del backup. Por favor contactar cuanto antes ya que no le permite recibir correos y esto afecta sus labores diarias. 
Contactar:
23 de julio 2026 de 11:00am a 5:00pm urgente
Escriba detalladamente el error donde clarifique el flujo paso a paso de cómo se presentó: Bandeja de correo y backup lleno no le permite recibir correos
</t>
        </is>
      </c>
      <c r="G31" s="2" t="inlineStr">
        <is>
          <t>SERVICIOS DE TECNOLOGIA-GESTION DE APLICACIONES-FALLA</t>
        </is>
      </c>
      <c r="H31" s="2" t="inlineStr">
        <is>
          <t>Portal - Web</t>
        </is>
      </c>
      <c r="I31" s="2" t="inlineStr">
        <is>
          <t>Baja</t>
        </is>
      </c>
      <c r="J31" s="4">
        <v>46226.43797453704</v>
      </c>
      <c r="K31" s="2" t="inlineStr">
        <is>
          <t>ANDERSON JULIAN RATIVA RAMIREZ</t>
        </is>
      </c>
      <c r="L31" s="2" t="inlineStr">
        <is>
          <t>ZONA CENTRO</t>
        </is>
      </c>
      <c r="M31" s="2" t="inlineStr">
        <is>
          <t>SERVICIOS DE TI</t>
        </is>
      </c>
      <c r="N31" s="2"/>
      <c r="O31" s="2" t="inlineStr">
        <is>
          <t>BIENESTAR Y DESARROLLO SOCIAL</t>
        </is>
      </c>
      <c r="P31" s="2"/>
      <c r="Q31" s="2" t="inlineStr">
        <is>
          <t>AGGGSWY0I24JCAT8MW5FT8MW5F3S2L</t>
        </is>
      </c>
      <c r="R31" s="2" t="inlineStr">
        <is>
          <t>a) 0-4</t>
        </is>
      </c>
      <c r="S31" s="2" t="inlineStr">
        <is>
          <t>-</t>
        </is>
      </c>
      <c r="T31" s="2" t="inlineStr">
        <is>
          <t>24/07/2026 16:30:41</t>
        </is>
      </c>
    </row>
    <row r="32">
      <c r="A32" s="2" t="inlineStr">
        <is>
          <t>🟢</t>
        </is>
      </c>
      <c r="B32" s="3" t="str">
        <f>HYPERLINK("https://compensar-smartit.onbmc.com/smartit/app/#/incident/IDGGSWY0I24JCAT8MY16T8MY166DTE","INC000000153738")</f>
        <v>INC000000153738</v>
      </c>
      <c r="C32" s="2" t="inlineStr">
        <is>
          <t>No</t>
        </is>
      </c>
      <c r="D32" s="2" t="inlineStr">
        <is>
          <t>Lentitud en equipo</t>
        </is>
      </c>
      <c r="E32" s="2" t="inlineStr">
        <is>
          <t>Asignado</t>
        </is>
      </c>
      <c r="F32" s="2" t="inlineStr">
        <is>
          <t>Usuario: Patricia Lopez Lizarazo  
CC: 52203593
Tel: 3004492581
Informa: La colaboradora reporta lentitud en equipo 
Ubicación: Sede Facatativá , piso 3 , ventanilla 15
Tiempo: 11:08 a. m. 23/07/2026
Impacto:1
Evidencias: Se escala para su gestión
Numero de activo : C000254 - C175048</t>
        </is>
      </c>
      <c r="G32" s="2" t="inlineStr">
        <is>
          <t>SERVICIOS DE TECNOLOGIA-INFRAESTRUCTURA-FALLAS POR HARDWARE</t>
        </is>
      </c>
      <c r="H32" s="2" t="inlineStr">
        <is>
          <t>Telefono</t>
        </is>
      </c>
      <c r="I32" s="2" t="inlineStr">
        <is>
          <t>Baja</t>
        </is>
      </c>
      <c r="J32" s="4">
        <v>46226.467824074076</v>
      </c>
      <c r="K32" s="2" t="inlineStr">
        <is>
          <t>NICK STEVE TRIANA LOPEZ</t>
        </is>
      </c>
      <c r="L32" s="2" t="inlineStr">
        <is>
          <t>ZONA OCCIDENTE</t>
        </is>
      </c>
      <c r="M32" s="2" t="inlineStr">
        <is>
          <t>SERVICIOS DE TI</t>
        </is>
      </c>
      <c r="N32" s="2" t="inlineStr">
        <is>
          <t>C000254</t>
        </is>
      </c>
      <c r="O32" s="2" t="inlineStr">
        <is>
          <t>SALUD</t>
        </is>
      </c>
      <c r="P32" s="2"/>
      <c r="Q32" s="2" t="inlineStr">
        <is>
          <t>IDGGSWY0I24JCAT8MY16T8MY166DTE</t>
        </is>
      </c>
      <c r="R32" s="2" t="inlineStr">
        <is>
          <t>a) 0-4</t>
        </is>
      </c>
      <c r="S32" s="2" t="inlineStr">
        <is>
          <t>-</t>
        </is>
      </c>
      <c r="T32" s="2" t="inlineStr">
        <is>
          <t>24/07/2026 17:13:40</t>
        </is>
      </c>
    </row>
    <row r="33">
      <c r="A33" s="2" t="inlineStr">
        <is>
          <t>🟢</t>
        </is>
      </c>
      <c r="B33" s="3" t="str">
        <f>HYPERLINK("https://compensar-smartit.onbmc.com/smartit/app/#/incident/IDGGSWY0I24JCAT8MYSYT8MYSY6QPZ","INC000000153741")</f>
        <v>INC000000153741</v>
      </c>
      <c r="C33" s="2" t="inlineStr">
        <is>
          <t>No</t>
        </is>
      </c>
      <c r="D33" s="2" t="inlineStr">
        <is>
          <t>Lentitud en equipo</t>
        </is>
      </c>
      <c r="E33" s="2" t="inlineStr">
        <is>
          <t>Asignado</t>
        </is>
      </c>
      <c r="F33" s="2" t="inlineStr">
        <is>
          <t>Usuario: Adriana Del Pilar Torres Vargas
Teléfono: 3114893865
CC: 52223944
Informa: La usuaria se comunica con la Mesa de Servicio indicando que presenta lentitud en el equipo de cómputo.
Ubicación: Movilidad
Tiempo: 6:39 a. m. 23/07/2026
Evidencias:
1. Se realizaron validaciones de primer nivel.
2. Se realizó la optimización del disco.
3. Se eliminaron archivos temporales del equipo.
4. Se escaló el caso para la respectiva validación por parte del grupo responsable.</t>
        </is>
      </c>
      <c r="G33" s="2" t="inlineStr">
        <is>
          <t>SERVICIOS DE TECNOLOGIA-SOPORTE EQUIPOS DE COMPUTO-FALLA</t>
        </is>
      </c>
      <c r="H33" s="2" t="inlineStr">
        <is>
          <t>Telefono</t>
        </is>
      </c>
      <c r="I33" s="2" t="inlineStr">
        <is>
          <t>Baja</t>
        </is>
      </c>
      <c r="J33" s="4">
        <v>46226.47489583334</v>
      </c>
      <c r="K33" s="2" t="inlineStr">
        <is>
          <t>ANDERSON JULIAN RATIVA RAMIREZ</t>
        </is>
      </c>
      <c r="L33" s="2" t="inlineStr">
        <is>
          <t>ZONA CENTRO</t>
        </is>
      </c>
      <c r="M33" s="2" t="inlineStr">
        <is>
          <t>SERVICIOS DE TI</t>
        </is>
      </c>
      <c r="N33" s="2" t="inlineStr">
        <is>
          <t>P016816</t>
        </is>
      </c>
      <c r="O33" s="2" t="inlineStr">
        <is>
          <t>BIENESTAR Y DESARROLLO SOCIAL</t>
        </is>
      </c>
      <c r="P33" s="2"/>
      <c r="Q33" s="2" t="inlineStr">
        <is>
          <t>IDGGSWY0I24JCAT8MYSYT8MYSY6QPZ</t>
        </is>
      </c>
      <c r="R33" s="2" t="inlineStr">
        <is>
          <t>a) 0-4</t>
        </is>
      </c>
      <c r="S33" s="2" t="inlineStr">
        <is>
          <t>-</t>
        </is>
      </c>
      <c r="T33" s="2" t="inlineStr">
        <is>
          <t>24/07/2026 17:23:51</t>
        </is>
      </c>
    </row>
    <row r="34">
      <c r="A34" s="2" t="inlineStr">
        <is>
          <t>🟢</t>
        </is>
      </c>
      <c r="B34" s="3" t="str">
        <f>HYPERLINK("https://compensar-smartit.onbmc.com/smartit/app/#/incident/AGGGSWY0I24JCAT8MZTET8MZTE7WOG","INC000000153748")</f>
        <v>INC000000153748</v>
      </c>
      <c r="C34" s="2" t="inlineStr">
        <is>
          <t>No</t>
        </is>
      </c>
      <c r="D34" s="2" t="inlineStr">
        <is>
          <t>Falla en Equipo</t>
        </is>
      </c>
      <c r="E34" s="2" t="inlineStr">
        <is>
          <t>En curso</t>
        </is>
      </c>
      <c r="F34" s="2" t="inlineStr">
        <is>
          <t>Ubicación para atención del Servicio: CUR PISO 2 OFICINA DEPORTES RED
Número de contacto para la atención del servicio: 3105661636
Frente: BIENESTAR Y DESARROLLO SOCIAL
Falla: NO ENCIENDE/NO FUNCIONA
¿Cual es el dispositivo que presenta la falla?: [PORTATIL/PC]
Nombre de equipo (inventario o placa): 910500003710
Descripción del incidente o falla: El equipo está muy lento; al abrir diferentes aplicativos, se bloquea y sale un error.
Adjunto: [AGGGSWY0I24JCAT8MZS4T8MZS47V4H]
</t>
        </is>
      </c>
      <c r="G34" s="2" t="inlineStr">
        <is>
          <t>SERVICIOS DE TECNOLOGIA-SOPORTE EQUIPOS DE COMPUTO-FALLA</t>
        </is>
      </c>
      <c r="H34" s="2" t="inlineStr">
        <is>
          <t>Portal - Web</t>
        </is>
      </c>
      <c r="I34" s="2" t="inlineStr">
        <is>
          <t>Baja</t>
        </is>
      </c>
      <c r="J34" s="4">
        <v>46226.4887962963</v>
      </c>
      <c r="K34" s="2" t="inlineStr">
        <is>
          <t>ANDERSON JULIAN RATIVA RAMIREZ</t>
        </is>
      </c>
      <c r="L34" s="2" t="inlineStr">
        <is>
          <t>ZONA CENTRO</t>
        </is>
      </c>
      <c r="M34" s="2" t="inlineStr">
        <is>
          <t>SERVICIOS DE TI</t>
        </is>
      </c>
      <c r="N34" s="2"/>
      <c r="O34" s="2" t="inlineStr">
        <is>
          <t>BIENESTAR Y DESARROLLO SOCIAL</t>
        </is>
      </c>
      <c r="P34" s="2"/>
      <c r="Q34" s="2" t="inlineStr">
        <is>
          <t>AGGGSWY0I24JCAT8MZTET8MZTE7WOG</t>
        </is>
      </c>
      <c r="R34" s="2" t="inlineStr">
        <is>
          <t>a) 0-4</t>
        </is>
      </c>
      <c r="S34" s="2" t="inlineStr">
        <is>
          <t>-</t>
        </is>
      </c>
      <c r="T34" s="2" t="inlineStr">
        <is>
          <t>24/07/2026 17:43:52</t>
        </is>
      </c>
    </row>
    <row r="35">
      <c r="A35" s="2" t="inlineStr">
        <is>
          <t>🟢</t>
        </is>
      </c>
      <c r="B35" s="3" t="str">
        <f>HYPERLINK("https://compensar-smartit.onbmc.com/smartit/app/#/incident/IDGGSWY0I24JCAT8MZZUT8MZZU8INQ","INC000000153751")</f>
        <v>INC000000153751</v>
      </c>
      <c r="C35" s="2" t="inlineStr">
        <is>
          <t>No</t>
        </is>
      </c>
      <c r="D35" s="2" t="inlineStr">
        <is>
          <t>falla novedad en teams no cargan imagen</t>
        </is>
      </c>
      <c r="E35" s="2" t="inlineStr">
        <is>
          <t>Asignado</t>
        </is>
      </c>
      <c r="F35" s="2" t="inlineStr">
        <is>
          <t>Usuari@ :Magda Jahnet Silva Rativa
Informa:El usuario   se comunica usuario indica que presenta falla novedad con el aplicativo de teams
Ubicación:casa
Tiempo:12:17 p. m. 23/07/2026
Impacto:  Usuarios afectados 1</t>
        </is>
      </c>
      <c r="G35" s="2" t="inlineStr">
        <is>
          <t>SERVICIOS DE TECNOLOGIA-APLICACIONES DE NEGOCIO-FALLA</t>
        </is>
      </c>
      <c r="H35" s="2" t="inlineStr">
        <is>
          <t>Telefono</t>
        </is>
      </c>
      <c r="I35" s="2" t="inlineStr">
        <is>
          <t>Baja</t>
        </is>
      </c>
      <c r="J35" s="4">
        <v>46226.513715277775</v>
      </c>
      <c r="K35" s="2" t="inlineStr">
        <is>
          <t>DILAN SAMIR LOPEZ ARAUJO</t>
        </is>
      </c>
      <c r="L35" s="2" t="inlineStr">
        <is>
          <t>ZONA CENTRO</t>
        </is>
      </c>
      <c r="M35" s="2" t="inlineStr">
        <is>
          <t>SERVICIOS DE TI</t>
        </is>
      </c>
      <c r="N35" s="2" t="inlineStr">
        <is>
          <t>OFFICE 365</t>
        </is>
      </c>
      <c r="O35" s="2" t="inlineStr">
        <is>
          <t>BIENESTAR Y DESARROLLO SOCIAL</t>
        </is>
      </c>
      <c r="P35" s="2"/>
      <c r="Q35" s="2" t="inlineStr">
        <is>
          <t>IDGGSWY0I24JCAT8MZZUT8MZZU8INQ</t>
        </is>
      </c>
      <c r="R35" s="2" t="inlineStr">
        <is>
          <t>a) 0-4</t>
        </is>
      </c>
      <c r="S35" s="2" t="inlineStr">
        <is>
          <t>-</t>
        </is>
      </c>
      <c r="T35" s="2" t="inlineStr">
        <is>
          <t>24/07/2026 18:19:45</t>
        </is>
      </c>
    </row>
    <row r="36">
      <c r="A36" s="2" t="inlineStr">
        <is>
          <t>🟢</t>
        </is>
      </c>
      <c r="B36" s="3" t="str">
        <f>HYPERLINK("https://compensar-smartit.onbmc.com/smartit/app/#/incident/AGGGSWY0I24JCAT8NAKTT8NAKT9BCH","INC000000153756")</f>
        <v>INC000000153756</v>
      </c>
      <c r="C36" s="2" t="inlineStr">
        <is>
          <t>No</t>
        </is>
      </c>
      <c r="D36" s="2" t="inlineStr">
        <is>
          <t>Otras Fallas</t>
        </is>
      </c>
      <c r="E36" s="2" t="inlineStr">
        <is>
          <t>Asignado</t>
        </is>
      </c>
      <c r="F36" s="2" t="inlineStr">
        <is>
          <t>Ubicación para atención del Servicio: SAN ROQUE II PISO 6 CIRCULACIONES
Número de contacto para la atención del servicio: 3012345984
Frente: CENTRO DE SERVICIOS COMPARTIDOS
Afectación: OTRAS FALLAS
Nombre de equipo (inventario o placa): 000000
Descripción del incidente o falla: Buen dia, por favor revisar red modulo piso 6 san roque 2
Adjunto: [AGGIBMZTENYZ6AT8NAK4T8NAK4YWCR, AGGGSWY0I24JCAT8NAKPT8NAKP9ARN]
</t>
        </is>
      </c>
      <c r="G36" s="2" t="inlineStr">
        <is>
          <t>SERVICIOS DE TECNOLOGIA-GESTION DE APLICACIONES-FALLA</t>
        </is>
      </c>
      <c r="H36" s="2" t="inlineStr">
        <is>
          <t>Portal - Web</t>
        </is>
      </c>
      <c r="I36" s="2" t="inlineStr">
        <is>
          <t>Baja</t>
        </is>
      </c>
      <c r="J36" s="4">
        <v>46226.50033564815</v>
      </c>
      <c r="K36" s="2" t="inlineStr">
        <is>
          <t>MIGUEL JOSE NUÑEZ MARQUEZ</t>
        </is>
      </c>
      <c r="L36" s="2" t="inlineStr">
        <is>
          <t>ZONA NORTE</t>
        </is>
      </c>
      <c r="M36" s="2" t="inlineStr">
        <is>
          <t>SERVICIOS DE TI</t>
        </is>
      </c>
      <c r="N36" s="2"/>
      <c r="O36" s="2" t="inlineStr">
        <is>
          <t>CENTRO DE SERVICIOS COMPARTIDOS</t>
        </is>
      </c>
      <c r="P36" s="2"/>
      <c r="Q36" s="2" t="inlineStr">
        <is>
          <t>AGGGSWY0I24JCAT8NAKTT8NAKT9BCH</t>
        </is>
      </c>
      <c r="R36" s="2" t="inlineStr">
        <is>
          <t>a) 0-4</t>
        </is>
      </c>
      <c r="S36" s="2" t="inlineStr">
        <is>
          <t>-</t>
        </is>
      </c>
      <c r="T36" s="2" t="inlineStr">
        <is>
          <t>24/07/2026 18:00:29</t>
        </is>
      </c>
    </row>
    <row r="37">
      <c r="A37" s="2" t="inlineStr">
        <is>
          <t>🟢</t>
        </is>
      </c>
      <c r="B37" s="3" t="str">
        <f>HYPERLINK("https://compensar-smartit.onbmc.com/smartit/app/#/incident/IDGGSWY0I24JCAT8NCRDT8NCRDLPS7","INC000000153767")</f>
        <v>INC000000153767</v>
      </c>
      <c r="C37" s="2" t="inlineStr">
        <is>
          <t>No</t>
        </is>
      </c>
      <c r="D37" s="2" t="inlineStr">
        <is>
          <t>Falla novedad teclado</t>
        </is>
      </c>
      <c r="E37" s="2" t="inlineStr">
        <is>
          <t>Asignado</t>
        </is>
      </c>
      <c r="F37" s="2" t="inlineStr">
        <is>
          <t>Usuari@:Wendy Daileny Urrego Garzon
Informa: El usuario se comunica  indicando que presenta novedad con el teclado del equipo no se ven las teclas
Tiempo:12:49 p. m. 23/07/2026
Ubicación:sede bloque f piso 3
Impacto: Usuarios afectados:1</t>
        </is>
      </c>
      <c r="G37" s="2" t="inlineStr">
        <is>
          <t>SERVICIOS DE TECNOLOGIA-APLICACIONES DE NEGOCIO-FALLA</t>
        </is>
      </c>
      <c r="H37" s="2" t="inlineStr">
        <is>
          <t>Telefono</t>
        </is>
      </c>
      <c r="I37" s="2" t="inlineStr">
        <is>
          <t>Baja</t>
        </is>
      </c>
      <c r="J37" s="4">
        <v>46226.536631944444</v>
      </c>
      <c r="K37" s="2" t="inlineStr">
        <is>
          <t>DILAN SAMIR LOPEZ ARAUJO</t>
        </is>
      </c>
      <c r="L37" s="2" t="inlineStr">
        <is>
          <t>ZONA CENTRO</t>
        </is>
      </c>
      <c r="M37" s="2" t="inlineStr">
        <is>
          <t>SERVICIOS DE TI</t>
        </is>
      </c>
      <c r="N37" s="2" t="inlineStr">
        <is>
          <t>C91053285</t>
        </is>
      </c>
      <c r="O37" s="2" t="inlineStr">
        <is>
          <t>BIENESTAR Y DESARROLLO SOCIAL</t>
        </is>
      </c>
      <c r="P37" s="2"/>
      <c r="Q37" s="2" t="inlineStr">
        <is>
          <t>IDGGSWY0I24JCAT8NCRDT8NCRDLPS7</t>
        </is>
      </c>
      <c r="R37" s="2" t="inlineStr">
        <is>
          <t>a) 0-4</t>
        </is>
      </c>
      <c r="S37" s="2" t="inlineStr">
        <is>
          <t>-</t>
        </is>
      </c>
      <c r="T37" s="2" t="inlineStr">
        <is>
          <t>24/07/2026 18:52:45</t>
        </is>
      </c>
    </row>
    <row r="38">
      <c r="A38" s="2" t="inlineStr">
        <is>
          <t>🟢</t>
        </is>
      </c>
      <c r="B38" s="3" t="str">
        <f>HYPERLINK("https://compensar-smartit.onbmc.com/smartit/app/#/incident/IDGGSWY0I24JCAT8NDBST8NDBSMFVH","INC000000153769")</f>
        <v>INC000000153769</v>
      </c>
      <c r="C38" s="2" t="inlineStr">
        <is>
          <t>No</t>
        </is>
      </c>
      <c r="D38" s="2" t="inlineStr">
        <is>
          <t>Falla en aplicaciones de Office desde el navegador y escritorio</t>
        </is>
      </c>
      <c r="E38" s="2" t="inlineStr">
        <is>
          <t>En curso</t>
        </is>
      </c>
      <c r="F38" s="2" t="inlineStr">
        <is>
          <t>Usuario: YESICA MILENA GUEPENDO RAMIREZ
Informa: La usuaria se comunica con la Mesa de Servicio indicando que las aplicaciones de Office no cargan desde el navegador. Se solicita conexión mediante Asistencia Rápida; sin embargo, no es posible establecerla, ya que el equipo no lo permite. Se requieren validaciones en sitio para determinar la causa del inconveniente.
Ubicación: Sede Fontibón
Tiempo: 12:45 23/07/2026
Impacto: Usuarios afectados 1
Placa de equipo: No especificada
Evidencias:
1. Se recibió el reporte relacionado con el funcionamiento de las aplicaciones de Office desde el navegador.
2. Se solicitó conexión mediante Asistencia Rápida para realizar las validaciones.
3. Se evidenció que no fue posible establecer la conexión remota debido a las restricciones del equipo.
4. Se determinó que se requieren validaciones en sitio para continuar con el diagnóstico.
5. Se registró la cédula de la usuaria: 1106783016.
6. Se registró el teléfono de contacto: 3132368333.</t>
        </is>
      </c>
      <c r="G38" s="2" t="inlineStr">
        <is>
          <t>SERVICIOS DE TECNOLOGIA-SOPORTE EQUIPOS DE COMPUTO-FALLA</t>
        </is>
      </c>
      <c r="H38" s="2" t="inlineStr">
        <is>
          <t>Telefono</t>
        </is>
      </c>
      <c r="I38" s="2" t="inlineStr">
        <is>
          <t>Baja</t>
        </is>
      </c>
      <c r="J38" s="4">
        <v>46226.539305555554</v>
      </c>
      <c r="K38" s="2" t="inlineStr">
        <is>
          <t>NICK STEVE TRIANA LOPEZ</t>
        </is>
      </c>
      <c r="L38" s="2" t="inlineStr">
        <is>
          <t>ZONA OCCIDENTE</t>
        </is>
      </c>
      <c r="M38" s="2" t="inlineStr">
        <is>
          <t>SERVICIOS DE TI</t>
        </is>
      </c>
      <c r="N38" s="2" t="inlineStr">
        <is>
          <t>SISTEMA OPERATIVO WINDOWS</t>
        </is>
      </c>
      <c r="O38" s="2" t="inlineStr">
        <is>
          <t>SALUD</t>
        </is>
      </c>
      <c r="P38" s="2"/>
      <c r="Q38" s="2" t="inlineStr">
        <is>
          <t>IDGGSWY0I24JCAT8NDBST8NDBSMFVH</t>
        </is>
      </c>
      <c r="R38" s="2" t="inlineStr">
        <is>
          <t>a) 0-4</t>
        </is>
      </c>
      <c r="S38" s="2" t="inlineStr">
        <is>
          <t>-</t>
        </is>
      </c>
      <c r="T38" s="2" t="inlineStr">
        <is>
          <t>24/07/2026 18:56:36</t>
        </is>
      </c>
    </row>
    <row r="39">
      <c r="A39" s="2" t="inlineStr">
        <is>
          <t>🟢</t>
        </is>
      </c>
      <c r="B39" s="3" t="str">
        <f>HYPERLINK("https://compensar-smartit.onbmc.com/smartit/app/#/incident/IDGGSWY0I24JCAT8NFSDT8NFSDOX1S","INC000000153775")</f>
        <v>INC000000153775</v>
      </c>
      <c r="C39" s="2" t="inlineStr">
        <is>
          <t>No</t>
        </is>
      </c>
      <c r="D39" s="2" t="inlineStr">
        <is>
          <t>Falla en equipo en relacion de confianza</t>
        </is>
      </c>
      <c r="E39" s="2" t="inlineStr">
        <is>
          <t>Asignado</t>
        </is>
      </c>
      <c r="F39" s="2" t="inlineStr">
        <is>
          <t>Usuario: Ruth Fabiola Osorio Dussan
CC: 51967630
Tel: 3004681859
Informa: La colaboradora reporta falla en equipo por error de relación de confianza 
Ubicación: Sede , Fontibón , piso 2 , consultorio 209
Tiempo: 1:33 p. m. 23/07/2026
Impacto:1
Evidencias: Se escala para su gestión
Numero activo :C001834</t>
        </is>
      </c>
      <c r="G39" s="2" t="inlineStr">
        <is>
          <t>SERVICIOS DE TECNOLOGIA-SOPORTE EQUIPOS DE COMPUTO-FALLA</t>
        </is>
      </c>
      <c r="H39" s="2" t="inlineStr">
        <is>
          <t>Telefono</t>
        </is>
      </c>
      <c r="I39" s="2" t="inlineStr">
        <is>
          <t>Baja</t>
        </is>
      </c>
      <c r="J39" s="4">
        <v>46226.581030092595</v>
      </c>
      <c r="K39" s="2" t="inlineStr">
        <is>
          <t>NICK STEVE TRIANA LOPEZ</t>
        </is>
      </c>
      <c r="L39" s="2" t="inlineStr">
        <is>
          <t>ZONA OCCIDENTE</t>
        </is>
      </c>
      <c r="M39" s="2" t="inlineStr">
        <is>
          <t>SERVICIOS DE TI</t>
        </is>
      </c>
      <c r="N39" s="2" t="inlineStr">
        <is>
          <t>SISTEMA OPERATIVO WINDOWS</t>
        </is>
      </c>
      <c r="O39" s="2" t="inlineStr">
        <is>
          <t>SALUD</t>
        </is>
      </c>
      <c r="P39" s="2"/>
      <c r="Q39" s="2" t="inlineStr">
        <is>
          <t>IDGGSWY0I24JCAT8NFSDT8NFSDOX1S</t>
        </is>
      </c>
      <c r="R39" s="2" t="inlineStr">
        <is>
          <t>a) 0-4</t>
        </is>
      </c>
      <c r="S39" s="2" t="inlineStr">
        <is>
          <t>-</t>
        </is>
      </c>
      <c r="T39" s="2" t="inlineStr">
        <is>
          <t>24/07/2026 19:56:41</t>
        </is>
      </c>
    </row>
    <row r="40">
      <c r="A40" s="2" t="inlineStr">
        <is>
          <t>🟢</t>
        </is>
      </c>
      <c r="B40" s="3" t="str">
        <f>HYPERLINK("https://compensar-smartit.onbmc.com/smartit/app/#/incident/AGGGSWY0I24JCAT8NJIAT8NJIATSKE","INC000000153785")</f>
        <v>INC000000153785</v>
      </c>
      <c r="C40" s="2" t="inlineStr">
        <is>
          <t>No</t>
        </is>
      </c>
      <c r="D40" s="2" t="inlineStr">
        <is>
          <t>Falla en Equipo</t>
        </is>
      </c>
      <c r="E40" s="2" t="inlineStr">
        <is>
          <t>Asignado</t>
        </is>
      </c>
      <c r="F40" s="2" t="inlineStr">
        <is>
          <t>Ubicación para atención del Servicio: CSDE TORRE A PISO 3 GERENCIA TESORERIA
Número de contacto para la atención del servicio: 3058562958
Frente: CENTRO DE SERVICIOS COMPARTIDOS
Falla: BLOQUEO
¿Cual es el dispositivo que presenta la falla?: [MONITOR]
Nombre de equipo (inventario o placa): p017161
Descripción del incidente o falla: El equipo esta solicitando actualización de Windows pide reiniciar el equipo pero se reinicia yno completa el proceso
Adjunto: [AGGIBMZTENYZ6AT8NJDYT8NJDYHYUW]
</t>
        </is>
      </c>
      <c r="G40" s="2" t="inlineStr">
        <is>
          <t>SERVICIOS DE TECNOLOGIA-SOPORTE EQUIPOS DE COMPUTO-FALLA</t>
        </is>
      </c>
      <c r="H40" s="2" t="inlineStr">
        <is>
          <t>Portal - Web</t>
        </is>
      </c>
      <c r="I40" s="2" t="inlineStr">
        <is>
          <t>Baja</t>
        </is>
      </c>
      <c r="J40" s="4">
        <v>46226.63</v>
      </c>
      <c r="K40" s="2" t="inlineStr">
        <is>
          <t>KEVIN ALEXIS GARCIA GUARACA</t>
        </is>
      </c>
      <c r="L40" s="2" t="inlineStr">
        <is>
          <t>ZONA CENTRO</t>
        </is>
      </c>
      <c r="M40" s="2" t="inlineStr">
        <is>
          <t>SERVICIOS DE TI</t>
        </is>
      </c>
      <c r="N40" s="2"/>
      <c r="O40" s="2" t="inlineStr">
        <is>
          <t>CENTRO DE SERVICIOS COMPARTIDOS</t>
        </is>
      </c>
      <c r="P40" s="2"/>
      <c r="Q40" s="2" t="inlineStr">
        <is>
          <t>AGGGSWY0I24JCAT8NJIAT8NJIATSKE</t>
        </is>
      </c>
      <c r="R40" s="2" t="inlineStr">
        <is>
          <t>a) 0-4</t>
        </is>
      </c>
      <c r="S40" s="2" t="inlineStr">
        <is>
          <t>-</t>
        </is>
      </c>
      <c r="T40" s="2" t="inlineStr">
        <is>
          <t>25/07/2026 07:07:12</t>
        </is>
      </c>
    </row>
    <row r="41">
      <c r="A41" s="2" t="inlineStr">
        <is>
          <t>🟢</t>
        </is>
      </c>
      <c r="B41" s="3" t="str">
        <f>HYPERLINK("https://compensar-smartit.onbmc.com/smartit/app/#/incident/IDGGSWY0I24JCAT8N1NQT8N1NQYPK8","INC000000153793")</f>
        <v>INC000000153793</v>
      </c>
      <c r="C41" s="2" t="inlineStr">
        <is>
          <t>No</t>
        </is>
      </c>
      <c r="D41" s="2" t="inlineStr">
        <is>
          <t>Equipo sin red</t>
        </is>
      </c>
      <c r="E41" s="2" t="inlineStr">
        <is>
          <t>En curso</t>
        </is>
      </c>
      <c r="F41" s="2" t="inlineStr">
        <is>
          <t>Usuari@:Jinneth Del Carmen Rojas Solano
Informa: El usuario se comunica  indicando que el equipo se encuentra sin red
Tiempo:3:36 p. m. 23/07/2026
Ubicación:Sede 145 piso 2 rehabilitación infantil  
Impacto: Usuarios afectados:1</t>
        </is>
      </c>
      <c r="G41" s="2" t="inlineStr">
        <is>
          <t>SERVICIOS DE TECNOLOGIA-APLICACIONES DE NEGOCIO-FALLA</t>
        </is>
      </c>
      <c r="H41" s="2" t="inlineStr">
        <is>
          <t>Telefono</t>
        </is>
      </c>
      <c r="I41" s="2" t="inlineStr">
        <is>
          <t>Baja</t>
        </is>
      </c>
      <c r="J41" s="4">
        <v>46226.66878472222</v>
      </c>
      <c r="K41" s="2" t="inlineStr">
        <is>
          <t>EDWIN ALEXIS PATIÑO TEJEDOR</t>
        </is>
      </c>
      <c r="L41" s="2" t="inlineStr">
        <is>
          <t>ZONA NORTE</t>
        </is>
      </c>
      <c r="M41" s="2" t="inlineStr">
        <is>
          <t>SERVICIOS DE TI</t>
        </is>
      </c>
      <c r="N41" s="2" t="inlineStr">
        <is>
          <t>C008460</t>
        </is>
      </c>
      <c r="O41" s="2" t="inlineStr">
        <is>
          <t>BIENESTAR Y DESARROLLO SOCIAL</t>
        </is>
      </c>
      <c r="P41" s="2"/>
      <c r="Q41" s="2" t="inlineStr">
        <is>
          <t>IDGGSWY0I24JCAT8N1NQT8N1NQYPK8</t>
        </is>
      </c>
      <c r="R41" s="2" t="inlineStr">
        <is>
          <t>a) 0-4</t>
        </is>
      </c>
      <c r="S41" s="2" t="inlineStr">
        <is>
          <t>-</t>
        </is>
      </c>
      <c r="T41" s="2" t="inlineStr">
        <is>
          <t>25/07/2026 08:03:03</t>
        </is>
      </c>
    </row>
    <row r="42">
      <c r="A42" s="2" t="inlineStr">
        <is>
          <t>🟢</t>
        </is>
      </c>
      <c r="B42" s="3" t="str">
        <f>HYPERLINK("https://compensar-smartit.onbmc.com/smartit/app/#/incident/IDGGSWY0I24JCAT8N2KPT8N2KPZX2F","INC000000153794")</f>
        <v>INC000000153794</v>
      </c>
      <c r="C42" s="2" t="inlineStr">
        <is>
          <t>No</t>
        </is>
      </c>
      <c r="D42" s="2" t="inlineStr">
        <is>
          <t>No le permite ingresar a EV perfil salud 2</t>
        </is>
      </c>
      <c r="E42" s="2" t="inlineStr">
        <is>
          <t>Pendiente</t>
        </is>
      </c>
      <c r="F42" s="2" t="inlineStr">
        <is>
          <t>Usuario: 
CC: 52179719
Tel: 3165202720
Informa:  La colaboradora reporta que no le permite ingresar al EV por error de conexión geatway perfil salud 2 
Ubicación: movilidad 
Tiempo: 2:59 p. m. 23/07/2026
Impacto:1
Evidencias: Se escala para su gestión</t>
        </is>
      </c>
      <c r="G42" s="2" t="inlineStr">
        <is>
          <t>SERVICIOS DE TECNOLOGIA-ESCRITORIOS VIRTUALES-CONEXION FALLIDA</t>
        </is>
      </c>
      <c r="H42" s="2" t="inlineStr">
        <is>
          <t>Telefono</t>
        </is>
      </c>
      <c r="I42" s="2" t="inlineStr">
        <is>
          <t>Baja</t>
        </is>
      </c>
      <c r="J42" s="4">
        <v>46226.68114583333</v>
      </c>
      <c r="K42" s="2" t="inlineStr">
        <is>
          <t>FABIAN JESSID PASTRANA AGUIRRE</t>
        </is>
      </c>
      <c r="L42" s="2" t="inlineStr">
        <is>
          <t>SPT ESCRITORIO VIRTUAL</t>
        </is>
      </c>
      <c r="M42" s="2" t="inlineStr">
        <is>
          <t>SERVICIOS DE TI</t>
        </is>
      </c>
      <c r="N42" s="2" t="inlineStr">
        <is>
          <t>ESCRITORIO VIRTUAL</t>
        </is>
      </c>
      <c r="O42" s="2" t="inlineStr">
        <is>
          <t>SALUD</t>
        </is>
      </c>
      <c r="P42" s="2"/>
      <c r="Q42" s="2" t="inlineStr">
        <is>
          <t>IDGGSWY0I24JCAT8N2KPT8N2KPZX2F</t>
        </is>
      </c>
      <c r="R42" s="2" t="inlineStr">
        <is>
          <t>a) 0-4</t>
        </is>
      </c>
      <c r="S42" s="2" t="inlineStr">
        <is>
          <t>24/07/2026 19:00:00</t>
        </is>
      </c>
      <c r="T42" s="2" t="inlineStr">
        <is>
          <t>-</t>
        </is>
      </c>
    </row>
    <row r="43">
      <c r="A43" s="2" t="inlineStr">
        <is>
          <t>🟢</t>
        </is>
      </c>
      <c r="B43" s="3" t="str">
        <f>HYPERLINK("https://compensar-smartit.onbmc.com/smartit/app/#/incident/IDGGSWY0I24JCAT8N2MXT8N2MXAAWS","INC000000153796")</f>
        <v>INC000000153796</v>
      </c>
      <c r="C43" s="2" t="inlineStr">
        <is>
          <t>No</t>
        </is>
      </c>
      <c r="D43" s="2" t="inlineStr">
        <is>
          <t>Falla Teams - Falla Descargar o abrir archivos</t>
        </is>
      </c>
      <c r="E43" s="2" t="inlineStr">
        <is>
          <t>Pendiente</t>
        </is>
      </c>
      <c r="F43" s="2" t="inlineStr">
        <is>
          <t>Usuario: Sandra Rodriguez 
Informa: Cuando me envían archivos por teams no me deja abrirlos ni descargarlos le aparece que no tiene permisos para abrirlos, ni descargarlos, se toma el equipo remoto, se cierra sesión, se vuelve abrir teams, se valida los archivos, se le indica que son permisos pero el usuario manifiesta que antes podía abrirlos. 
📍 Ubicación: Carrera 69
ACTIVO: C005460
Tiempo: 16:20
Impacto: 1 
Evidencias: Teams-1.PNG Teams-2.PNG</t>
        </is>
      </c>
      <c r="G43" s="2" t="inlineStr">
        <is>
          <t>SERVICIOS DE TECNOLOGIA-APLICACIONES DE NEGOCIO-ERROR FUNCIONALIDAD APLICACION</t>
        </is>
      </c>
      <c r="H43" s="2" t="inlineStr">
        <is>
          <t>Chat</t>
        </is>
      </c>
      <c r="I43" s="2" t="inlineStr">
        <is>
          <t>Baja</t>
        </is>
      </c>
      <c r="J43" s="4">
        <v>46226.70502314815</v>
      </c>
      <c r="K43" s="2" t="inlineStr">
        <is>
          <t>JOSE ARLEY SANCHEZ COLORADO</t>
        </is>
      </c>
      <c r="L43" s="2" t="inlineStr">
        <is>
          <t>SPT CABECERA CARRERA 69</t>
        </is>
      </c>
      <c r="M43" s="2" t="inlineStr">
        <is>
          <t>SERVICIOS DE TI</t>
        </is>
      </c>
      <c r="N43" s="2" t="inlineStr">
        <is>
          <t>OFFICE 365</t>
        </is>
      </c>
      <c r="O43" s="2" t="inlineStr">
        <is>
          <t>SALUD</t>
        </is>
      </c>
      <c r="P43" s="2"/>
      <c r="Q43" s="2" t="inlineStr">
        <is>
          <t>IDGGSWY0I24JCAT8N2MXT8N2MXAAWS</t>
        </is>
      </c>
      <c r="R43" s="2" t="inlineStr">
        <is>
          <t>a) 0-4</t>
        </is>
      </c>
      <c r="S43" s="2" t="inlineStr">
        <is>
          <t>24/07/2026 20:00:00</t>
        </is>
      </c>
      <c r="T43" s="2" t="inlineStr">
        <is>
          <t>-</t>
        </is>
      </c>
    </row>
    <row r="44">
      <c r="A44" s="2" t="inlineStr">
        <is>
          <t>🟢</t>
        </is>
      </c>
      <c r="B44" s="3" t="str">
        <f>HYPERLINK("https://compensar-smartit.onbmc.com/smartit/app/#/incident/IDGIBMZTENYZ6AT8N4N7T8N4N752GO","INC000000153802")</f>
        <v>INC000000153802</v>
      </c>
      <c r="C44" s="2" t="inlineStr">
        <is>
          <t>No</t>
        </is>
      </c>
      <c r="D44" s="2" t="inlineStr">
        <is>
          <t>Falla en el panel táctil (touchpad) del portátil</t>
        </is>
      </c>
      <c r="E44" s="2" t="inlineStr">
        <is>
          <t>Asignado</t>
        </is>
      </c>
      <c r="F44" s="2" t="inlineStr">
        <is>
          <t>Usuario: La usuaria MANDY AMAYA BORRERO se comunica con la mesa de servicio para notificar que el panel táctil (touchpad) del portátil no está funcionando correctamente.
Informa: La usuaria informa que el touchpad del portátil perdió la funcionalidad. Indica que no responde el clic derecho y que el clic izquierdo tampoco funciona correctamente. La usuaria manifiesta que estará en la sede Av. 68 el martes a las 2:00 p. m. para continuar con la validación de la novedad.
Ubicación: Movilidad. La usuaria indica que el martes estará en la sede Av. 68 a las 2:00 p. m.
Tiempo: 8:35 a. m. 23/07/2026.
Impacto: No especificada.
Placa de equipo: P009479.
Evidencias:
1. Se registra la novedad reportada por la usuaria.
2. Se documenta que el panel táctil del portátil no responde correctamente a los clics derecho e izquierdo.
3. Se registra que la usuaria estará disponible en la sede Av. 68 el martes a las 2:00 p. m. para continuar con la validación del equipo.</t>
        </is>
      </c>
      <c r="G44" s="2" t="inlineStr">
        <is>
          <t>SERVICIOS DE TECNOLOGIA-SOPORTE EQUIPOS DE COMPUTO-FALLA</t>
        </is>
      </c>
      <c r="H44" s="2" t="inlineStr">
        <is>
          <t>Telefono</t>
        </is>
      </c>
      <c r="I44" s="2" t="inlineStr">
        <is>
          <t>Baja</t>
        </is>
      </c>
      <c r="J44" s="4">
        <v>46226.71586805556</v>
      </c>
      <c r="K44" s="2" t="inlineStr">
        <is>
          <t>KEVIN ALEXIS GARCIA GUARACA</t>
        </is>
      </c>
      <c r="L44" s="2" t="inlineStr">
        <is>
          <t>ZONA CENTRO</t>
        </is>
      </c>
      <c r="M44" s="2" t="inlineStr">
        <is>
          <t>SERVICIOS DE TI</t>
        </is>
      </c>
      <c r="N44" s="2" t="inlineStr">
        <is>
          <t>P009479</t>
        </is>
      </c>
      <c r="O44" s="2" t="inlineStr">
        <is>
          <t>CENTRO DE SERVICIOS COMPARTIDOS</t>
        </is>
      </c>
      <c r="P44" s="2"/>
      <c r="Q44" s="2" t="inlineStr">
        <is>
          <t>IDGIBMZTENYZ6AT8N4N7T8N4N752GO</t>
        </is>
      </c>
      <c r="R44" s="2" t="inlineStr">
        <is>
          <t>a) 0-4</t>
        </is>
      </c>
      <c r="S44" s="2" t="inlineStr">
        <is>
          <t>-</t>
        </is>
      </c>
      <c r="T44" s="2" t="inlineStr">
        <is>
          <t>25/07/2026 09:10:51</t>
        </is>
      </c>
    </row>
    <row r="45">
      <c r="A45" s="2" t="inlineStr">
        <is>
          <t>🟢</t>
        </is>
      </c>
      <c r="B45" s="3" t="str">
        <f>HYPERLINK("https://compensar-smartit.onbmc.com/smartit/app/#/incident/IDGIBMZTENYZ6AT8N4UWT8N4UW5KGD","INC000000153806")</f>
        <v>INC000000153806</v>
      </c>
      <c r="C45" s="2" t="inlineStr">
        <is>
          <t>No</t>
        </is>
      </c>
      <c r="D45" s="2" t="inlineStr">
        <is>
          <t>FALLA DE RED EN CAJICA - NO CONECTAN CORRECTAMENTE LAS TABLETS</t>
        </is>
      </c>
      <c r="E45" s="2" t="inlineStr">
        <is>
          <t>Asignado</t>
        </is>
      </c>
      <c r="F45" s="2" t="inlineStr">
        <is>
          <t>Aplicación:RED 
Falla puntual:La usuaria Carol Mayerli Ballen Naranjose comunica reportando fallas de red en sede Cajica club recreacion y deporte  ya que peresnta novedad en la conexion de las tablets
Medio de Ingreso del caso:Telefonico
Ubicación del usuario:Cajica - Piso 1- Administracion
Cantidad de usuarios afectados (en número y letras):1
¿Afectación generada por RED?:SI 
¿Usa VPN?:NO 
Validación realizada en N1:No es posible tomar evidencias de la falla ya que la usuaria no se encuentra en el sitio y son tabletas mas no equipos de computo para tomarlos remotamente .</t>
        </is>
      </c>
      <c r="G45" s="2" t="inlineStr">
        <is>
          <t>SERVICIOS DE TECNOLOGIA-APLICACIONES DE NEGOCIO-FALLA</t>
        </is>
      </c>
      <c r="H45" s="2" t="inlineStr">
        <is>
          <t>Telefono</t>
        </is>
      </c>
      <c r="I45" s="2" t="inlineStr">
        <is>
          <t>Baja</t>
        </is>
      </c>
      <c r="J45" s="4">
        <v>46226.73824074074</v>
      </c>
      <c r="K45" s="2" t="inlineStr">
        <is>
          <t>MIGUEL JOSE NUÑEZ MARQUEZ</t>
        </is>
      </c>
      <c r="L45" s="2" t="inlineStr">
        <is>
          <t>ZONA CENTRO</t>
        </is>
      </c>
      <c r="M45" s="2" t="inlineStr">
        <is>
          <t>SERVICIOS DE TI</t>
        </is>
      </c>
      <c r="N45" s="2" t="inlineStr">
        <is>
          <t>REDES</t>
        </is>
      </c>
      <c r="O45" s="2" t="inlineStr">
        <is>
          <t>BIENESTAR Y DESARROLLO SOCIAL</t>
        </is>
      </c>
      <c r="P45" s="2"/>
      <c r="Q45" s="2" t="inlineStr">
        <is>
          <t>IDGIBMZTENYZ6AT8N4UWT8N4UW5KGD</t>
        </is>
      </c>
      <c r="R45" s="2" t="inlineStr">
        <is>
          <t>a) 0-4</t>
        </is>
      </c>
      <c r="S45" s="2" t="inlineStr">
        <is>
          <t>-</t>
        </is>
      </c>
      <c r="T45" s="2" t="inlineStr">
        <is>
          <t>27/07/2026 07:30:29</t>
        </is>
      </c>
    </row>
    <row r="46">
      <c r="A46" s="2" t="inlineStr">
        <is>
          <t>🟢</t>
        </is>
      </c>
      <c r="B46" s="3" t="str">
        <f>HYPERLINK("https://compensar-smartit.onbmc.com/smartit/app/#/incident/IDGIBMZTENYZ6AT8N5A6T8N5A65QGY","INC000000153807")</f>
        <v>INC000000153807</v>
      </c>
      <c r="C46" s="2" t="inlineStr">
        <is>
          <t>No</t>
        </is>
      </c>
      <c r="D46" s="2" t="inlineStr">
        <is>
          <t>Falla equipo no permite acceso al correo</t>
        </is>
      </c>
      <c r="E46" s="2" t="inlineStr">
        <is>
          <t>Asignado</t>
        </is>
      </c>
      <c r="F46" s="2" t="inlineStr">
        <is>
          <t>Usuario:IONA GARNICA ROJAS
Informa: Falla equipo no permite acceso al correo adicional activación de Windows,
Ubicación: clínica san Rafael  PISO 1 LABORATORIO CLINICO 
Tiempo:23-07-2026  5:14pm    
Impacto: 1         
Evidencias: NO</t>
        </is>
      </c>
      <c r="G46" s="2" t="inlineStr">
        <is>
          <t>SERVICIOS DE TECNOLOGIA-APLICACIONES DE NEGOCIO-ACCESO DENEGADO</t>
        </is>
      </c>
      <c r="H46" s="2" t="inlineStr">
        <is>
          <t>Telefono</t>
        </is>
      </c>
      <c r="I46" s="2" t="inlineStr">
        <is>
          <t>Baja</t>
        </is>
      </c>
      <c r="J46" s="4">
        <v>46226.71776620371</v>
      </c>
      <c r="K46" s="2" t="inlineStr">
        <is>
          <t>MICHAEL STEVEN FRAILE GOMEZ</t>
        </is>
      </c>
      <c r="L46" s="2" t="inlineStr">
        <is>
          <t>SPT ZONA SURORIENTE</t>
        </is>
      </c>
      <c r="M46" s="2" t="inlineStr">
        <is>
          <t>SERVICIOS DE TI</t>
        </is>
      </c>
      <c r="N46" s="2" t="inlineStr">
        <is>
          <t>CORREO ELECTRONICO</t>
        </is>
      </c>
      <c r="O46" s="2" t="inlineStr">
        <is>
          <t>SALUD</t>
        </is>
      </c>
      <c r="P46" s="2"/>
      <c r="Q46" s="2" t="inlineStr">
        <is>
          <t>IDGIBMZTENYZ6AT8N5A6T8N5A65QGY</t>
        </is>
      </c>
      <c r="R46" s="2" t="inlineStr">
        <is>
          <t>a) 0-4</t>
        </is>
      </c>
      <c r="S46" s="2" t="inlineStr">
        <is>
          <t>-</t>
        </is>
      </c>
      <c r="T46" s="2" t="inlineStr">
        <is>
          <t>24/07/2026 10:13:35</t>
        </is>
      </c>
    </row>
    <row r="47">
      <c r="A47" s="2" t="inlineStr">
        <is>
          <t>🟢</t>
        </is>
      </c>
      <c r="B47" s="3" t="str">
        <f>HYPERLINK("https://compensar-smartit.onbmc.com/smartit/app/#/incident/IDGIBMZTENYZ6AT8NTXJT8NTXJNPV7","INC000000153811")</f>
        <v>INC000000153811</v>
      </c>
      <c r="C47" s="2" t="inlineStr">
        <is>
          <t>No</t>
        </is>
      </c>
      <c r="D47" s="2" t="inlineStr">
        <is>
          <t>Equipo no inicia</t>
        </is>
      </c>
      <c r="E47" s="2" t="inlineStr">
        <is>
          <t>Asignado</t>
        </is>
      </c>
      <c r="F47" s="2" t="inlineStr">
        <is>
          <t>Usuario: Ruth Merizalde
Informa: Equipo no inicia no toma carga 
Ubicación: casa/movilidad
Tiempo: 22
Impacto: 1
Evidencias: Se intenta des energizar el equipo retirando todas las conexiones y presionando el botón de encendido, se prueba un cargador adicional (de móvil), pero no toma, se prueba en los dos puertos tipo C pero no reconoce carga 
Usuario confirma que no puede desplazarse a sede por novedad de salud calle 72A # 91A - 37</t>
        </is>
      </c>
      <c r="G47" s="2" t="inlineStr">
        <is>
          <t>SERVICIOS DE TECNOLOGIA-SOPORTE EQUIPOS DE COMPUTO-FALLA</t>
        </is>
      </c>
      <c r="H47" s="2" t="inlineStr">
        <is>
          <t>Telefono</t>
        </is>
      </c>
      <c r="I47" s="2" t="inlineStr">
        <is>
          <t>Baja</t>
        </is>
      </c>
      <c r="J47" s="4">
        <v>46226.95077546296</v>
      </c>
      <c r="K47" s="2" t="inlineStr">
        <is>
          <t>DILAN SAMIR LOPEZ ARAUJO</t>
        </is>
      </c>
      <c r="L47" s="2" t="inlineStr">
        <is>
          <t>ZONA CENTRO</t>
        </is>
      </c>
      <c r="M47" s="2" t="inlineStr">
        <is>
          <t>SERVICIOS DE TI</t>
        </is>
      </c>
      <c r="N47" s="2" t="inlineStr">
        <is>
          <t>P017170</t>
        </is>
      </c>
      <c r="O47" s="2" t="inlineStr">
        <is>
          <t>BIENESTAR Y DESARROLLO SOCIAL</t>
        </is>
      </c>
      <c r="P47" s="2"/>
      <c r="Q47" s="2" t="inlineStr">
        <is>
          <t>IDGIBMZTENYZ6AT8NTXJT8NTXJNPV7</t>
        </is>
      </c>
      <c r="R47" s="2" t="inlineStr">
        <is>
          <t>a) 0-4</t>
        </is>
      </c>
      <c r="S47" s="2" t="inlineStr">
        <is>
          <t>-</t>
        </is>
      </c>
      <c r="T47" s="2" t="inlineStr">
        <is>
          <t>27/07/2026 06:00:00</t>
        </is>
      </c>
    </row>
    <row r="48">
      <c r="A48" s="2" t="inlineStr">
        <is>
          <t>🟢</t>
        </is>
      </c>
      <c r="B48" s="3" t="str">
        <f>HYPERLINK("https://compensar-smartit.onbmc.com/smartit/app/#/incident/IDGIBMZTENYZ6AT8O41UT8O41UU8XU","INC000000153813")</f>
        <v>INC000000153813</v>
      </c>
      <c r="C48" s="2" t="inlineStr">
        <is>
          <t>No</t>
        </is>
      </c>
      <c r="D48" s="2" t="inlineStr">
        <is>
          <t>MONICA JOHANNA ORTIZ CARANGUAY</t>
        </is>
      </c>
      <c r="E48" s="2" t="inlineStr">
        <is>
          <t>Asignado</t>
        </is>
      </c>
      <c r="F48" s="2" t="inlineStr">
        <is>
          <t>Usuario: Monica Johanna Ortiz 
Informa: Se comunica porque de nuevo no le carga su correo en el equipo 
Ubicación: Cons 120 fontibon 
Tiempo: 5:45 igual 
Impacto: 1
Evidencias: Se valida conexión se vuelve a cambiar el proxy y funciona de momento se confirma que desde la semana pasada el tema es casi diario y vuelve a fallar
activo c175052 no carga en BMC</t>
        </is>
      </c>
      <c r="G48" s="2" t="inlineStr">
        <is>
          <t>SERVICIOS DE TECNOLOGIA-SOPORTE EQUIPOS DE COMPUTO-FALLA</t>
        </is>
      </c>
      <c r="H48" s="2" t="inlineStr">
        <is>
          <t>Telefono</t>
        </is>
      </c>
      <c r="I48" s="2" t="inlineStr">
        <is>
          <t>Baja</t>
        </is>
      </c>
      <c r="J48" s="4">
        <v>46227.25052083333</v>
      </c>
      <c r="K48" s="2" t="inlineStr">
        <is>
          <t>NICK STEVE TRIANA LOPEZ</t>
        </is>
      </c>
      <c r="L48" s="2" t="inlineStr">
        <is>
          <t>SPT ZONA OCCIDENTE</t>
        </is>
      </c>
      <c r="M48" s="2" t="inlineStr">
        <is>
          <t>SERVICIOS DE TI</t>
        </is>
      </c>
      <c r="N48" s="2"/>
      <c r="O48" s="2" t="inlineStr">
        <is>
          <t>SALUD</t>
        </is>
      </c>
      <c r="P48" s="2"/>
      <c r="Q48" s="2" t="inlineStr">
        <is>
          <t>IDGIBMZTENYZ6AT8O41UT8O41UU8XU</t>
        </is>
      </c>
      <c r="R48" s="2" t="inlineStr">
        <is>
          <t>a) 0-4</t>
        </is>
      </c>
      <c r="S48" s="2" t="inlineStr">
        <is>
          <t>-</t>
        </is>
      </c>
      <c r="T48" s="2" t="inlineStr">
        <is>
          <t>24/07/2026 14:00:45</t>
        </is>
      </c>
    </row>
    <row r="49">
      <c r="A49" s="2" t="inlineStr">
        <is>
          <t>🟢</t>
        </is>
      </c>
      <c r="B49" s="3" t="str">
        <f>HYPERLINK("https://compensar-smartit.onbmc.com/smartit/app/#/incident/AGGIBMZTENYZ6AT8O50GT8O50GUT8Q","INC000000153815")</f>
        <v>INC000000153815</v>
      </c>
      <c r="C49" s="2" t="inlineStr">
        <is>
          <t>No</t>
        </is>
      </c>
      <c r="D49" s="2" t="inlineStr">
        <is>
          <t>EQUIPO NO PRENDE</t>
        </is>
      </c>
      <c r="E49" s="2" t="inlineStr">
        <is>
          <t>En curso</t>
        </is>
      </c>
      <c r="F49" s="2" t="inlineStr">
        <is>
          <t>Ubicación para atención del Servicio: PRIMERA DE MAYO
Número de contacto para la atención del servicio: 3142372054
Frente: SALUD
Falla: NO ENCIENDE/NO FUNCIONA
¿Cual es el dispositivo que presenta la falla?: [OTRO]
Nombre de equipo (inventario o placa): VENTANILLA 5
Descripción del incidente o falla: PC VENTANILLA 5 NO INCICIA
VENTANILLA 5	 C004195	10-62-E5-0F-DA-AA	 172.28.132.59</t>
        </is>
      </c>
      <c r="G49" s="2" t="inlineStr">
        <is>
          <t>SERVICIOS DE TECNOLOGIA-SOPORTE EQUIPOS DE COMPUTO-FALLA</t>
        </is>
      </c>
      <c r="H49" s="2" t="inlineStr">
        <is>
          <t>Portal - Web</t>
        </is>
      </c>
      <c r="I49" s="2" t="inlineStr">
        <is>
          <t>Baja</t>
        </is>
      </c>
      <c r="J49" s="4">
        <v>46227.26090277778</v>
      </c>
      <c r="K49" s="2" t="inlineStr">
        <is>
          <t>PEDRO ANTONIO SARMIENTO PEREZ</t>
        </is>
      </c>
      <c r="L49" s="2" t="inlineStr">
        <is>
          <t>SPT CABECERA 1 MAYO</t>
        </is>
      </c>
      <c r="M49" s="2" t="inlineStr">
        <is>
          <t>SERVICIOS DE TI</t>
        </is>
      </c>
      <c r="N49" s="2" t="inlineStr">
        <is>
          <t>C004195</t>
        </is>
      </c>
      <c r="O49" s="2" t="inlineStr">
        <is>
          <t>SALUD</t>
        </is>
      </c>
      <c r="P49" s="2"/>
      <c r="Q49" s="2" t="inlineStr">
        <is>
          <t>AGGIBMZTENYZ6AT8O50GT8O50GUT8Q</t>
        </is>
      </c>
      <c r="R49" s="2" t="inlineStr">
        <is>
          <t>a) 0-4</t>
        </is>
      </c>
      <c r="S49" s="2" t="inlineStr">
        <is>
          <t>-</t>
        </is>
      </c>
      <c r="T49" s="2" t="inlineStr">
        <is>
          <t>24/07/2026 14:15:42</t>
        </is>
      </c>
    </row>
    <row r="50">
      <c r="A50" s="2" t="inlineStr">
        <is>
          <t>🟢</t>
        </is>
      </c>
      <c r="B50" s="3" t="str">
        <f>HYPERLINK("https://compensar-smartit.onbmc.com/smartit/app/#/incident/IDGIBMZTENYZ6AT8O5UMT8O5UMUZU1","INC000000153818")</f>
        <v>INC000000153818</v>
      </c>
      <c r="C50" s="2" t="inlineStr">
        <is>
          <t>No</t>
        </is>
      </c>
      <c r="D50" s="2" t="inlineStr">
        <is>
          <t>Falla de software</t>
        </is>
      </c>
      <c r="E50" s="2" t="inlineStr">
        <is>
          <t>Asignado</t>
        </is>
      </c>
      <c r="F50" s="2" t="inlineStr">
        <is>
          <t>Usuario:     Natalia Gomez Delgado
CC:          1024484709
Tel:         3012720676
Informa:     La colaboradora reporta que Office solicita activar el producto y que en 3 días caducará el software. Adicionalmente, al abrir archivos PDF con Adobe aparece un error en inglés indicando "error en la instancia de Adobe". No se realiza conexión remota ya que se requieren acciones de administrador y Asistencia rápida bloquea la pantalla dejándola en negro.
Ubicación:   Consultorio 412 C94, piso 4
Tiempo:      6:30
Impacto:     1
Evidencias:</t>
        </is>
      </c>
      <c r="G50" s="2" t="inlineStr">
        <is>
          <t>SERVICIOS DE TECNOLOGIA-APLICACIONES DE NEGOCIO-FALLA</t>
        </is>
      </c>
      <c r="H50" s="2" t="inlineStr">
        <is>
          <t>Telefono</t>
        </is>
      </c>
      <c r="I50" s="2" t="inlineStr">
        <is>
          <t>Baja</t>
        </is>
      </c>
      <c r="J50" s="4">
        <v>46227.27207175926</v>
      </c>
      <c r="K50" s="2" t="inlineStr">
        <is>
          <t>MARIA FERNANDA PEREIRA BUENO</t>
        </is>
      </c>
      <c r="L50" s="2" t="inlineStr">
        <is>
          <t>SPT CABECERA CALLE 94</t>
        </is>
      </c>
      <c r="M50" s="2" t="inlineStr">
        <is>
          <t>SERVICIOS DE TI</t>
        </is>
      </c>
      <c r="N50" s="2"/>
      <c r="O50" s="2" t="inlineStr">
        <is>
          <t>SALUD</t>
        </is>
      </c>
      <c r="P50" s="2"/>
      <c r="Q50" s="2" t="inlineStr">
        <is>
          <t>IDGIBMZTENYZ6AT8O5UMT8O5UMUZU1</t>
        </is>
      </c>
      <c r="R50" s="2" t="inlineStr">
        <is>
          <t>a) 0-4</t>
        </is>
      </c>
      <c r="S50" s="2" t="inlineStr">
        <is>
          <t>-</t>
        </is>
      </c>
      <c r="T50" s="2" t="inlineStr">
        <is>
          <t>24/07/2026 14:31:47</t>
        </is>
      </c>
    </row>
    <row r="51">
      <c r="A51" s="2" t="inlineStr">
        <is>
          <t>🟢</t>
        </is>
      </c>
      <c r="B51" s="3" t="str">
        <f>HYPERLINK("https://compensar-smartit.onbmc.com/smartit/app/#/incident/AGGIBMZTENYZ6AT8O6XCT8O6XCV42R","INC000000153821")</f>
        <v>INC000000153821</v>
      </c>
      <c r="C51" s="2" t="inlineStr">
        <is>
          <t>No</t>
        </is>
      </c>
      <c r="D51" s="2" t="inlineStr">
        <is>
          <t>IMPRESORA ZEBRA DESCALIBRADA</t>
        </is>
      </c>
      <c r="E51" s="2" t="inlineStr">
        <is>
          <t>En curso</t>
        </is>
      </c>
      <c r="F51" s="2" t="inlineStr">
        <is>
          <t>Ubicación para atención del Servicio: PRIMERA DE MAYO
Número de contacto para la atención del servicio: 11571
Frente: SALUD
Falla: NO ENCIENDE/NO FUNCIONA
¿Cual es el dispositivo que presenta la falla?: [PORTATIL/PC]
Nombre de equipo (inventario o placa): IMPRESION
Descripción del incidente o falla: DETALLE
Usuario solicita validación de equipo ZEBRA NO FUNCIONA
NOMBRE  KAREN LORENA CASTIBLANCO MARTINEZ
CORREO KLCASTIBLANCOM@compensarsalud.com
SEDE 1 DE MAYO
PISO 1
VENTANILLA 8
ACTIVO 
IMPRESION
</t>
        </is>
      </c>
      <c r="G51" s="2" t="inlineStr">
        <is>
          <t>SERVICIOS DE TECNOLOGIA-SOPORTE EQUIPOS DE COMPUTO-FALLA</t>
        </is>
      </c>
      <c r="H51" s="2" t="inlineStr">
        <is>
          <t>Portal - Web</t>
        </is>
      </c>
      <c r="I51" s="2" t="inlineStr">
        <is>
          <t>Baja</t>
        </is>
      </c>
      <c r="J51" s="4">
        <v>46227.28543981481</v>
      </c>
      <c r="K51" s="2" t="inlineStr">
        <is>
          <t>PEDRO ANTONIO SARMIENTO PEREZ</t>
        </is>
      </c>
      <c r="L51" s="2" t="inlineStr">
        <is>
          <t>SPT CABECERA 1 MAYO</t>
        </is>
      </c>
      <c r="M51" s="2" t="inlineStr">
        <is>
          <t>SERVICIOS DE TI</t>
        </is>
      </c>
      <c r="N51" s="2" t="inlineStr">
        <is>
          <t>IMPRESION</t>
        </is>
      </c>
      <c r="O51" s="2" t="inlineStr">
        <is>
          <t>SALUD</t>
        </is>
      </c>
      <c r="P51" s="2"/>
      <c r="Q51" s="2" t="inlineStr">
        <is>
          <t>AGGIBMZTENYZ6AT8O6XCT8O6XCV42R</t>
        </is>
      </c>
      <c r="R51" s="2" t="inlineStr">
        <is>
          <t>a) 0-4</t>
        </is>
      </c>
      <c r="S51" s="2" t="inlineStr">
        <is>
          <t>-</t>
        </is>
      </c>
      <c r="T51" s="2" t="inlineStr">
        <is>
          <t>24/07/2026 14:51:02</t>
        </is>
      </c>
    </row>
    <row r="52">
      <c r="A52" s="2" t="inlineStr">
        <is>
          <t>🟢</t>
        </is>
      </c>
      <c r="B52" s="3" t="str">
        <f>HYPERLINK("https://compensar-smartit.onbmc.com/smartit/app/#/incident/AGGIBMZTENYZ6AT8O6XDT8O6XDV44C","INC000000153822")</f>
        <v>INC000000153822</v>
      </c>
      <c r="C52" s="2" t="inlineStr">
        <is>
          <t>No</t>
        </is>
      </c>
      <c r="D52" s="2" t="inlineStr">
        <is>
          <t>EQUIPO NO FUNCIONA</t>
        </is>
      </c>
      <c r="E52" s="2" t="inlineStr">
        <is>
          <t>En curso</t>
        </is>
      </c>
      <c r="F52" s="2" t="inlineStr">
        <is>
          <t>DETALLE
Usuario solicita validación de equipo no funciona
NOMBRE  LEONARDO ARTURO FONSECA FONSECA
CORREO leonardo345_@hotmail.com
SEDE 1 DE MAYO
PISO 4
CONSULTORIO 418
ACTIVO 
C175133</t>
        </is>
      </c>
      <c r="G52" s="2" t="inlineStr">
        <is>
          <t>SERVICIOS DE TECNOLOGIA-SOPORTE EQUIPOS DE COMPUTO-FALLA</t>
        </is>
      </c>
      <c r="H52" s="2" t="inlineStr">
        <is>
          <t>Portal - Web</t>
        </is>
      </c>
      <c r="I52" s="2" t="inlineStr">
        <is>
          <t>Baja</t>
        </is>
      </c>
      <c r="J52" s="4">
        <v>46227.28545138889</v>
      </c>
      <c r="K52" s="2" t="inlineStr">
        <is>
          <t>PEDRO ANTONIO SARMIENTO PEREZ</t>
        </is>
      </c>
      <c r="L52" s="2" t="inlineStr">
        <is>
          <t>SPT CABECERA 1 MAYO</t>
        </is>
      </c>
      <c r="M52" s="2" t="inlineStr">
        <is>
          <t>SERVICIOS DE TI</t>
        </is>
      </c>
      <c r="N52" s="2" t="inlineStr">
        <is>
          <t>C175133</t>
        </is>
      </c>
      <c r="O52" s="2" t="inlineStr">
        <is>
          <t>SALUD</t>
        </is>
      </c>
      <c r="P52" s="2"/>
      <c r="Q52" s="2" t="inlineStr">
        <is>
          <t>AGGIBMZTENYZ6AT8O6XDT8O6XDV44C</t>
        </is>
      </c>
      <c r="R52" s="2" t="inlineStr">
        <is>
          <t>a) 0-4</t>
        </is>
      </c>
      <c r="S52" s="2" t="inlineStr">
        <is>
          <t>-</t>
        </is>
      </c>
      <c r="T52" s="2" t="inlineStr">
        <is>
          <t>24/07/2026 14:51:03</t>
        </is>
      </c>
    </row>
    <row r="53">
      <c r="A53" s="2" t="inlineStr">
        <is>
          <t>🟢</t>
        </is>
      </c>
      <c r="B53" s="3" t="str">
        <f>HYPERLINK("https://compensar-smartit.onbmc.com/smartit/app/#/incident/AGGIBMZTENYZ6AT8O7GGT8O7GGV9N7","INC000000153823")</f>
        <v>INC000000153823</v>
      </c>
      <c r="C53" s="2" t="inlineStr">
        <is>
          <t>No</t>
        </is>
      </c>
      <c r="D53" s="2" t="inlineStr">
        <is>
          <t>FALLA DE RED</t>
        </is>
      </c>
      <c r="E53" s="2" t="inlineStr">
        <is>
          <t>En curso</t>
        </is>
      </c>
      <c r="F53" s="2" t="inlineStr">
        <is>
          <t>Ubicación para atención del Servicio: USKEN PISO MZ ADMINISTRACION SAM
Número de contacto para la atención del servicio: 12137
Frente: SALUD
Falla: NO ENCIENDE/NO FUNCIONA
¿Cual es el dispositivo que presenta la falla?: [OTRO]
Nombre de equipo (inventario o placa): COMPUTADOR PUESTO # 12 BACK ADMINISTRACION
Descripción del incidente o falla: Buenos dias, se solicita desde la unidad de kennedy, la revision y arreglo del computador puesto back administración # 12, debido a que no tiene internet. Mil gracias.
</t>
        </is>
      </c>
      <c r="G53" s="2" t="inlineStr">
        <is>
          <t>SERVICIOS DE TECNOLOGIA-SOPORTE EQUIPOS DE COMPUTO-FALLA</t>
        </is>
      </c>
      <c r="H53" s="2" t="inlineStr">
        <is>
          <t>Portal - Web</t>
        </is>
      </c>
      <c r="I53" s="2" t="inlineStr">
        <is>
          <t>Baja</t>
        </is>
      </c>
      <c r="J53" s="4">
        <v>46227.28923611111</v>
      </c>
      <c r="K53" s="2" t="inlineStr">
        <is>
          <t>ALLISSON MAURICIO MORENO PABON</t>
        </is>
      </c>
      <c r="L53" s="2" t="inlineStr">
        <is>
          <t>SPT CABECERA KENNEDY</t>
        </is>
      </c>
      <c r="M53" s="2" t="inlineStr">
        <is>
          <t>SERVICIOS DE TI</t>
        </is>
      </c>
      <c r="N53" s="2"/>
      <c r="O53" s="2" t="inlineStr">
        <is>
          <t>SALUD</t>
        </is>
      </c>
      <c r="P53" s="2"/>
      <c r="Q53" s="2" t="inlineStr">
        <is>
          <t>AGGIBMZTENYZ6AT8O7GGT8O7GGV9N7</t>
        </is>
      </c>
      <c r="R53" s="2" t="inlineStr">
        <is>
          <t>a) 0-4</t>
        </is>
      </c>
      <c r="S53" s="2" t="inlineStr">
        <is>
          <t>-</t>
        </is>
      </c>
      <c r="T53" s="2" t="inlineStr">
        <is>
          <t>24/07/2026 14:56:30</t>
        </is>
      </c>
    </row>
    <row r="54">
      <c r="A54" s="2" t="inlineStr">
        <is>
          <t>🟢</t>
        </is>
      </c>
      <c r="B54" s="3" t="str">
        <f>HYPERLINK("https://compensar-smartit.onbmc.com/smartit/app/#/incident/AGGIBMZTENYZ6AT8O7ZOT8O7ZOWBKH","INC000000153824")</f>
        <v>INC000000153824</v>
      </c>
      <c r="C54" s="2" t="inlineStr">
        <is>
          <t>No</t>
        </is>
      </c>
      <c r="D54" s="2" t="inlineStr">
        <is>
          <t>Falla en Equipo</t>
        </is>
      </c>
      <c r="E54" s="2" t="inlineStr">
        <is>
          <t>En curso</t>
        </is>
      </c>
      <c r="F54" s="2" t="inlineStr">
        <is>
          <t>Ubicación para atención del Servicio: US C26 C TORRE C PISO 3 CONSULTORIO 302
Número de contacto para la atención del servicio: 3212485971
Frente: SALUD
Falla: BLOQUEO
¿Cual es el dispositivo que presenta la falla?: [MOUSE]
Nombre de equipo (inventario o placa): XX
Descripción del incidente o falla: Buen dia,dr notifica que el mouse del consultorio 302 no esta funcionando
</t>
        </is>
      </c>
      <c r="G54" s="2" t="inlineStr">
        <is>
          <t>SERVICIOS DE TECNOLOGIA-SOPORTE EQUIPOS DE COMPUTO-FALLA</t>
        </is>
      </c>
      <c r="H54" s="2" t="inlineStr">
        <is>
          <t>Portal - Web</t>
        </is>
      </c>
      <c r="I54" s="2" t="inlineStr">
        <is>
          <t>Baja</t>
        </is>
      </c>
      <c r="J54" s="4">
        <v>46227.30152777778</v>
      </c>
      <c r="K54" s="2" t="inlineStr">
        <is>
          <t>DANIEL CAMILO BARRERO GALINDO</t>
        </is>
      </c>
      <c r="L54" s="2" t="inlineStr">
        <is>
          <t>SPT CABECERA CALLE 26</t>
        </is>
      </c>
      <c r="M54" s="2" t="inlineStr">
        <is>
          <t>SERVICIOS DE TI</t>
        </is>
      </c>
      <c r="N54" s="2" t="inlineStr">
        <is>
          <t>C006472</t>
        </is>
      </c>
      <c r="O54" s="2" t="inlineStr">
        <is>
          <t>SALUD</t>
        </is>
      </c>
      <c r="P54" s="2" t="inlineStr">
        <is>
          <t>SOLUCION DEFINITIVA</t>
        </is>
      </c>
      <c r="Q54" s="2" t="inlineStr">
        <is>
          <t>AGGIBMZTENYZ6AT8O7ZOT8O7ZOWBKH</t>
        </is>
      </c>
      <c r="R54" s="2" t="inlineStr">
        <is>
          <t>a) 0-4</t>
        </is>
      </c>
      <c r="S54" s="2" t="inlineStr">
        <is>
          <t>-</t>
        </is>
      </c>
      <c r="T54" s="2" t="inlineStr">
        <is>
          <t>24/07/2026 15:14:12</t>
        </is>
      </c>
    </row>
    <row r="55">
      <c r="A55" s="2" t="inlineStr">
        <is>
          <t>🟢</t>
        </is>
      </c>
      <c r="B55" s="3" t="str">
        <f>HYPERLINK("https://compensar-smartit.onbmc.com/smartit/app/#/incident/IDGIBMZTENYZ6AT8O857T8O857WIRS","INC000000153826")</f>
        <v>INC000000153826</v>
      </c>
      <c r="C55" s="2" t="inlineStr">
        <is>
          <t>No</t>
        </is>
      </c>
      <c r="D55" s="2" t="inlineStr">
        <is>
          <t>Equipo sin internet</t>
        </is>
      </c>
      <c r="E55" s="2" t="inlineStr">
        <is>
          <t>Asignado</t>
        </is>
      </c>
      <c r="F55" s="2" t="inlineStr">
        <is>
          <t>Usuario: Lizeth Nayibe Gaviria Tobon
Teléfono: 3166116801
CC: 1000776229
Informa: La usuaria se comunica con la Mesa de Servicio indicando que el equipo no tiene conexión a Internet.
Ubicación: Ventanilla 20, Autopista Sur
Tiempo: 6:29 a. m. 24/07/2026
Evidencias:
1. Se validó el inconveniente reportado con la conexión a Internet.
2. La usuaria informó que el ícono de red aparece con un símbolo de mundo, indicando ausencia de conexión.
3. No fue posible realizar conexión remota al equipo.
4. Se escaló el caso para la respectiva validación.</t>
        </is>
      </c>
      <c r="G55" s="2" t="inlineStr">
        <is>
          <t>SERVICIOS DE TECNOLOGIA-SOPORTE EQUIPOS DE COMPUTO-FALLA</t>
        </is>
      </c>
      <c r="H55" s="2" t="inlineStr">
        <is>
          <t>Telefono</t>
        </is>
      </c>
      <c r="I55" s="2" t="inlineStr">
        <is>
          <t>Baja</t>
        </is>
      </c>
      <c r="J55" s="4">
        <v>46227.310844907406</v>
      </c>
      <c r="K55" s="2" t="inlineStr">
        <is>
          <t>MICHAEL STEVEN FRAILE GOMEZ</t>
        </is>
      </c>
      <c r="L55" s="2" t="inlineStr">
        <is>
          <t>SPT ZONA SURORIENTE</t>
        </is>
      </c>
      <c r="M55" s="2" t="inlineStr">
        <is>
          <t>SERVICIOS DE TI</t>
        </is>
      </c>
      <c r="N55" s="2"/>
      <c r="O55" s="2" t="inlineStr">
        <is>
          <t>SALUD</t>
        </is>
      </c>
      <c r="P55" s="2"/>
      <c r="Q55" s="2" t="inlineStr">
        <is>
          <t>IDGIBMZTENYZ6AT8O857T8O857WIRS</t>
        </is>
      </c>
      <c r="R55" s="2" t="inlineStr">
        <is>
          <t>a) 0-4</t>
        </is>
      </c>
      <c r="S55" s="2" t="inlineStr">
        <is>
          <t>-</t>
        </is>
      </c>
      <c r="T55" s="2" t="inlineStr">
        <is>
          <t>24/07/2026 15:27:37</t>
        </is>
      </c>
    </row>
    <row r="56">
      <c r="A56" s="2" t="inlineStr">
        <is>
          <t>🟢</t>
        </is>
      </c>
      <c r="B56" s="3" t="str">
        <f>HYPERLINK("https://compensar-smartit.onbmc.com/smartit/app/#/incident/IDGIBMZTENYZ6AT8O883T8O883W00D","INC000000153827")</f>
        <v>INC000000153827</v>
      </c>
      <c r="C56" s="2" t="inlineStr">
        <is>
          <t>No</t>
        </is>
      </c>
      <c r="D56" s="2" t="inlineStr">
        <is>
          <t>Acceso fallido Windows - Error en servicio Gpsvc</t>
        </is>
      </c>
      <c r="E56" s="2" t="inlineStr">
        <is>
          <t>En curso</t>
        </is>
      </c>
      <c r="F56" s="2" t="inlineStr">
        <is>
          <t>Usuario:     Jaime Alberto Goenaga Trujillo
CC:          72161935
Tel:         3106804649
Informa:     El colaborador reporta que presenta un acceso fallido a Windows debido a un error en el servicio GPSVC. Además tras varios intentos de ingreso, se genera el mensaje "error en cliente de directiva".
Ubicación:   Kennedy, piso 5, consultorio 501
Tiempo:      6:30
Impacto:     1
Evidencias:</t>
        </is>
      </c>
      <c r="G56" s="2" t="inlineStr">
        <is>
          <t>SERVICIOS DE TECNOLOGIA-APLICACIONES DE NEGOCIO-FALLA</t>
        </is>
      </c>
      <c r="H56" s="2" t="inlineStr">
        <is>
          <t>Telefono</t>
        </is>
      </c>
      <c r="I56" s="2" t="inlineStr">
        <is>
          <t>Baja</t>
        </is>
      </c>
      <c r="J56" s="4">
        <v>46227.31112268518</v>
      </c>
      <c r="K56" s="2" t="inlineStr">
        <is>
          <t>ALLISSON MAURICIO MORENO PABON</t>
        </is>
      </c>
      <c r="L56" s="2" t="inlineStr">
        <is>
          <t>SPT CABECERA KENNEDY</t>
        </is>
      </c>
      <c r="M56" s="2" t="inlineStr">
        <is>
          <t>SERVICIOS DE TI</t>
        </is>
      </c>
      <c r="N56" s="2"/>
      <c r="O56" s="2" t="inlineStr">
        <is>
          <t>SALUD</t>
        </is>
      </c>
      <c r="P56" s="2"/>
      <c r="Q56" s="2" t="inlineStr">
        <is>
          <t>IDGIBMZTENYZ6AT8O883T8O883W00D</t>
        </is>
      </c>
      <c r="R56" s="2" t="inlineStr">
        <is>
          <t>a) 0-4</t>
        </is>
      </c>
      <c r="S56" s="2" t="inlineStr">
        <is>
          <t>-</t>
        </is>
      </c>
      <c r="T56" s="2" t="inlineStr">
        <is>
          <t>24/07/2026 15:28:01</t>
        </is>
      </c>
    </row>
    <row r="57">
      <c r="A57" s="2" t="inlineStr">
        <is>
          <t>🟢</t>
        </is>
      </c>
      <c r="B57" s="3" t="str">
        <f>HYPERLINK("https://compensar-smartit.onbmc.com/smartit/app/#/incident/AGGIBMZTENYZ6AT8O8O3T8O8O3W4YR","INC000000153828")</f>
        <v>INC000000153828</v>
      </c>
      <c r="C57" s="2" t="inlineStr">
        <is>
          <t>No</t>
        </is>
      </c>
      <c r="D57" s="2" t="inlineStr">
        <is>
          <t>Otras Fallas</t>
        </is>
      </c>
      <c r="E57" s="2" t="inlineStr">
        <is>
          <t>Asignado</t>
        </is>
      </c>
      <c r="F57" s="2" t="inlineStr">
        <is>
          <t>Ubicación para atención del Servicio: CRA 69 TORRE A PISO 1 CONSULTORIO 1 PEDIATRIA
Número de contacto para la atención del servicio: 3134599145
Frente: SALUD
Afectación: OTRAS FALLAS
Nombre de equipo (inventario o placa): 0000
Descripción del incidente o falla: Buen dia se solicita validar el ingreso a internet de los profesionales en los diferentes equipos de la TORRE A PISO 1, ya que constantemente se evidencia inconveniente para ingresar a internet , sobre todo cuando el profesional realiza cambio de consultorio
</t>
        </is>
      </c>
      <c r="G57" s="2" t="inlineStr">
        <is>
          <t>SERVICIOS DE TECNOLOGIA-GESTION DE APLICACIONES-FALLA</t>
        </is>
      </c>
      <c r="H57" s="2" t="inlineStr">
        <is>
          <t>Portal - Web</t>
        </is>
      </c>
      <c r="I57" s="2" t="inlineStr">
        <is>
          <t>Baja</t>
        </is>
      </c>
      <c r="J57" s="4">
        <v>46227.31181712963</v>
      </c>
      <c r="K57" s="2" t="inlineStr">
        <is>
          <t>IVAN FELIPE GARCIA MANRIQUE</t>
        </is>
      </c>
      <c r="L57" s="2" t="inlineStr">
        <is>
          <t>SPT CABECERA CARRERA 69</t>
        </is>
      </c>
      <c r="M57" s="2" t="inlineStr">
        <is>
          <t>SERVICIOS DE TI</t>
        </is>
      </c>
      <c r="N57" s="2"/>
      <c r="O57" s="2" t="inlineStr">
        <is>
          <t>SALUD</t>
        </is>
      </c>
      <c r="P57" s="2"/>
      <c r="Q57" s="2" t="inlineStr">
        <is>
          <t>AGGIBMZTENYZ6AT8O8O3T8O8O3W4YR</t>
        </is>
      </c>
      <c r="R57" s="2" t="inlineStr">
        <is>
          <t>a) 0-4</t>
        </is>
      </c>
      <c r="S57" s="2" t="inlineStr">
        <is>
          <t>-</t>
        </is>
      </c>
      <c r="T57" s="2" t="inlineStr">
        <is>
          <t>24/07/2026 15:29:01</t>
        </is>
      </c>
    </row>
    <row r="58">
      <c r="A58" s="2" t="inlineStr">
        <is>
          <t>🟢</t>
        </is>
      </c>
      <c r="B58" s="3" t="str">
        <f>HYPERLINK("https://compensar-smartit.onbmc.com/smartit/app/#/incident/AGGIBMZTENYZ6AT8O8W3T8O8W3WL38","INC000000153829")</f>
        <v>INC000000153829</v>
      </c>
      <c r="C58" s="2" t="inlineStr">
        <is>
          <t>No</t>
        </is>
      </c>
      <c r="D58" s="2" t="inlineStr">
        <is>
          <t>FALLA EN CORREO, TEAMS E IMPRESIÓN</t>
        </is>
      </c>
      <c r="E58" s="2" t="inlineStr">
        <is>
          <t>En curso</t>
        </is>
      </c>
      <c r="F58" s="2" t="inlineStr">
        <is>
          <t>Ubicación para atención del Servicio: KENNEDY PISO 3 SALA ESPERA LAB PC PLAN COMPLEMENTARIO
Número de contacto para la atención del servicio: 14615
Frente: SALUD
Falla: BLOQUEO
¿Cual es el dispositivo que presenta la falla?: [OTRO]
Nombre de equipo (inventario o placa): C006080
Descripción del incidente o falla: Buen día, no permite ingreso al correo, Teams y no puedo imprimir,
</t>
        </is>
      </c>
      <c r="G58" s="2" t="inlineStr">
        <is>
          <t>SERVICIOS DE TECNOLOGIA-SOPORTE EQUIPOS DE COMPUTO-FALLA</t>
        </is>
      </c>
      <c r="H58" s="2" t="inlineStr">
        <is>
          <t>Portal - Web</t>
        </is>
      </c>
      <c r="I58" s="2" t="inlineStr">
        <is>
          <t>Baja</t>
        </is>
      </c>
      <c r="J58" s="4">
        <v>46227.315150462964</v>
      </c>
      <c r="K58" s="2" t="inlineStr">
        <is>
          <t>ALLISSON MAURICIO MORENO PABON</t>
        </is>
      </c>
      <c r="L58" s="2" t="inlineStr">
        <is>
          <t>SPT CABECERA KENNEDY</t>
        </is>
      </c>
      <c r="M58" s="2" t="inlineStr">
        <is>
          <t>SERVICIOS DE TI</t>
        </is>
      </c>
      <c r="N58" s="2" t="inlineStr">
        <is>
          <t>C006080</t>
        </is>
      </c>
      <c r="O58" s="2" t="inlineStr">
        <is>
          <t>SALUD</t>
        </is>
      </c>
      <c r="P58" s="2"/>
      <c r="Q58" s="2" t="inlineStr">
        <is>
          <t>AGGIBMZTENYZ6AT8O8W3T8O8W3WL38</t>
        </is>
      </c>
      <c r="R58" s="2" t="inlineStr">
        <is>
          <t>a) 0-4</t>
        </is>
      </c>
      <c r="S58" s="2" t="inlineStr">
        <is>
          <t>-</t>
        </is>
      </c>
      <c r="T58" s="2" t="inlineStr">
        <is>
          <t>24/07/2026 15:33:49</t>
        </is>
      </c>
    </row>
    <row r="59">
      <c r="A59" s="2" t="inlineStr">
        <is>
          <t>🟢</t>
        </is>
      </c>
      <c r="B59" s="3" t="str">
        <f>HYPERLINK("https://compensar-smartit.onbmc.com/smartit/app/#/incident/IDGIBMZTENYZ6AT8O9E9T8O9E9WSDL","INC000000153830")</f>
        <v>INC000000153830</v>
      </c>
      <c r="C59" s="2" t="inlineStr">
        <is>
          <t>No</t>
        </is>
      </c>
      <c r="D59" s="2" t="inlineStr">
        <is>
          <t>Falla de acceso a páginas web</t>
        </is>
      </c>
      <c r="E59" s="2" t="inlineStr">
        <is>
          <t>Asignado</t>
        </is>
      </c>
      <c r="F59" s="2" t="inlineStr">
        <is>
          <t>Usuario         : Maria Cristina Martinez Mina
CC              : 52725092
Tel             : 3046375150
Informa         : La colaboradora se comunica con la Mesa de Servicio reportando una falla de acceso a páginas web, indicando que la información no carga correctamente, afectando el uso normal de los servicios requeridos.
Ubicación       : Calle 42 Piso 3 Puesto 302
Tiempo          : 7:37 a. m. 24/07/2026
Impacto         : 1
Placa de equipo : C005926
Evidencias      : No especificada</t>
        </is>
      </c>
      <c r="G59" s="2" t="inlineStr">
        <is>
          <t>SERVICIOS DE TECNOLOGIA-SOPORTE EQUIPOS DE COMPUTO-FALLA</t>
        </is>
      </c>
      <c r="H59" s="2" t="inlineStr">
        <is>
          <t>Telefono</t>
        </is>
      </c>
      <c r="I59" s="2" t="inlineStr">
        <is>
          <t>Baja</t>
        </is>
      </c>
      <c r="J59" s="4">
        <v>46227.32181712963</v>
      </c>
      <c r="K59" s="2" t="inlineStr">
        <is>
          <t>DAVID ESTEBAN DIAZ LLANOS</t>
        </is>
      </c>
      <c r="L59" s="2" t="inlineStr">
        <is>
          <t>SPT CABECERA CALLE 42</t>
        </is>
      </c>
      <c r="M59" s="2" t="inlineStr">
        <is>
          <t>SERVICIOS DE TI</t>
        </is>
      </c>
      <c r="N59" s="2" t="inlineStr">
        <is>
          <t>C005926</t>
        </is>
      </c>
      <c r="O59" s="2" t="inlineStr">
        <is>
          <t>SALUD</t>
        </is>
      </c>
      <c r="P59" s="2"/>
      <c r="Q59" s="2" t="inlineStr">
        <is>
          <t>IDGIBMZTENYZ6AT8O9E9T8O9E9WSDL</t>
        </is>
      </c>
      <c r="R59" s="2" t="inlineStr">
        <is>
          <t>a) 0-4</t>
        </is>
      </c>
      <c r="S59" s="2" t="inlineStr">
        <is>
          <t>-</t>
        </is>
      </c>
      <c r="T59" s="2" t="inlineStr">
        <is>
          <t>24/07/2026 15:43:25</t>
        </is>
      </c>
    </row>
    <row r="60">
      <c r="A60" s="2" t="inlineStr">
        <is>
          <t>🟢</t>
        </is>
      </c>
      <c r="B60" s="3" t="str">
        <f>HYPERLINK("https://compensar-smartit.onbmc.com/smartit/app/#/incident/IDGIBMZTENYZ6AT8O9M6T8O9M6XHNO","INC000000153833")</f>
        <v>INC000000153833</v>
      </c>
      <c r="C60" s="2" t="inlineStr">
        <is>
          <t>No</t>
        </is>
      </c>
      <c r="D60" s="2" t="inlineStr">
        <is>
          <t>Inconveniente con visualización de plantilla de citaciones</t>
        </is>
      </c>
      <c r="E60" s="2" t="inlineStr">
        <is>
          <t>Asignado</t>
        </is>
      </c>
      <c r="F60" s="2" t="inlineStr">
        <is>
          <t>Usuario: Judith Martinez Rodriguez
Teléfono: Ext. 26053
CC: 52585610
Informa: La usuaria se comunica con la Mesa de Servicio indicando que no puede visualizar la plantilla de citaciones, ya que el sistema solicita un complemento de Java.
Ubicación: San Roque 2
Tiempo: 6:29 a. m. 24/07/2026
Evidencias:
1. Se validó el inconveniente presentado con la visualización de la plantilla de citaciones.
2. Se intentó realizar la instalación del complemento de Java.
3. Se confirmó que el inconveniente persiste después de la instalación.
4. Se escaló el caso para la respectiva validación por parte del grupo responsable.
5. Se informó que la usuaria tenía un paciente pendiente de atención, identificado con el número C014686.</t>
        </is>
      </c>
      <c r="G60" s="2" t="inlineStr">
        <is>
          <t>SERVICIOS DE TECNOLOGIA-APLICACIONES DE NEGOCIO-FALLA</t>
        </is>
      </c>
      <c r="H60" s="2" t="inlineStr">
        <is>
          <t>Telefono</t>
        </is>
      </c>
      <c r="I60" s="2" t="inlineStr">
        <is>
          <t>Baja</t>
        </is>
      </c>
      <c r="J60" s="4">
        <v>46227.32803240741</v>
      </c>
      <c r="K60" s="2" t="inlineStr">
        <is>
          <t>EDWIN ALEXIS PATIÑO TEJEDOR</t>
        </is>
      </c>
      <c r="L60" s="2" t="inlineStr">
        <is>
          <t>SPT ZONA NORTE</t>
        </is>
      </c>
      <c r="M60" s="2" t="inlineStr">
        <is>
          <t>SERVICIOS DE TI</t>
        </is>
      </c>
      <c r="N60" s="2" t="inlineStr">
        <is>
          <t>C014686</t>
        </is>
      </c>
      <c r="O60" s="2" t="inlineStr">
        <is>
          <t>SALUD</t>
        </is>
      </c>
      <c r="P60" s="2"/>
      <c r="Q60" s="2" t="inlineStr">
        <is>
          <t>IDGIBMZTENYZ6AT8O9M6T8O9M6XHNO</t>
        </is>
      </c>
      <c r="R60" s="2" t="inlineStr">
        <is>
          <t>a) 0-4</t>
        </is>
      </c>
      <c r="S60" s="2" t="inlineStr">
        <is>
          <t>-</t>
        </is>
      </c>
      <c r="T60" s="2" t="inlineStr">
        <is>
          <t>24/07/2026 15:52:22</t>
        </is>
      </c>
    </row>
    <row r="61">
      <c r="A61" s="2" t="inlineStr">
        <is>
          <t>🟢</t>
        </is>
      </c>
      <c r="B61" s="3" t="str">
        <f>HYPERLINK("https://compensar-smartit.onbmc.com/smartit/app/#/incident/AGGIBMZTENYZ6AT8O9Q2T8O9Q2X09G","INC000000153834")</f>
        <v>INC000000153834</v>
      </c>
      <c r="C61" s="2" t="inlineStr">
        <is>
          <t>No</t>
        </is>
      </c>
      <c r="D61" s="2" t="inlineStr">
        <is>
          <t>Falla en Equipo</t>
        </is>
      </c>
      <c r="E61" s="2" t="inlineStr">
        <is>
          <t>Asignado</t>
        </is>
      </c>
      <c r="F61" s="2" t="inlineStr">
        <is>
          <t>Ubicación para atención del Servicio: BLOQUE F TORRE F PISO 3 CONVENIOS COMEDORES ESCOLARES
Número de contacto para la atención del servicio: 3046583440
Frente: BIENESTAR Y DESARROLLO SOCIAL
Falla: NO ENCIENDE/NO FUNCIONA
¿Cual es el dispositivo que presenta la falla?: [PORTATIL/PC]
Nombre de equipo (inventario o placa): 176692
Descripción del incidente o falla: BUEN DÍA, SIN CONEXIÓN INTERNET, POR FAVOR COMUNICAR A CARLOS MOGOLLON , UBICAD@ EN LA DIRECCIÓN CALLE 5 A SUR # 88 B - 08, COLEGIO DARIO ECHANDIA (IED), AL NÚMERO CELULAR 3046583440, ACTIVO 176692 EN ELCASO DE REQUERIR CAMBIO DE LOS PERIFERICOS PARA LA ATENCION , POR FAVOR DEJAR IMPLEMENTO DE CONTINGENCIA PARA CONTINUIDAD DE LA OPERACION
</t>
        </is>
      </c>
      <c r="G61" s="2" t="inlineStr">
        <is>
          <t>SERVICIOS DE TECNOLOGIA-SOPORTE EQUIPOS DE COMPUTO-FALLA</t>
        </is>
      </c>
      <c r="H61" s="2" t="inlineStr">
        <is>
          <t>Portal - Web</t>
        </is>
      </c>
      <c r="I61" s="2" t="inlineStr">
        <is>
          <t>Baja</t>
        </is>
      </c>
      <c r="J61" s="4">
        <v>46227.32763888889</v>
      </c>
      <c r="K61" s="2" t="inlineStr">
        <is>
          <t>MICHAEL STEVEN FRAILE GOMEZ</t>
        </is>
      </c>
      <c r="L61" s="2" t="inlineStr">
        <is>
          <t>ZONA SURORIENTE</t>
        </is>
      </c>
      <c r="M61" s="2" t="inlineStr">
        <is>
          <t>SERVICIOS DE TI</t>
        </is>
      </c>
      <c r="N61" s="2"/>
      <c r="O61" s="2" t="inlineStr">
        <is>
          <t>BIENESTAR Y DESARROLLO SOCIAL</t>
        </is>
      </c>
      <c r="P61" s="2"/>
      <c r="Q61" s="2" t="inlineStr">
        <is>
          <t>AGGIBMZTENYZ6AT8O9Q2T8O9Q2X09G</t>
        </is>
      </c>
      <c r="R61" s="2" t="inlineStr">
        <is>
          <t>a) 0-4</t>
        </is>
      </c>
      <c r="S61" s="2" t="inlineStr">
        <is>
          <t>-</t>
        </is>
      </c>
      <c r="T61" s="2" t="inlineStr">
        <is>
          <t>27/07/2026 07:51:48</t>
        </is>
      </c>
    </row>
    <row r="62">
      <c r="A62" s="2" t="inlineStr">
        <is>
          <t>🟢</t>
        </is>
      </c>
      <c r="B62" s="3" t="str">
        <f>HYPERLINK("https://compensar-smartit.onbmc.com/smartit/app/#/incident/IDGIBMZTENYZ6AT8OKL7T8OKL7Y1TX","INC000000153837")</f>
        <v>INC000000153837</v>
      </c>
      <c r="C62" s="2" t="inlineStr">
        <is>
          <t>No</t>
        </is>
      </c>
      <c r="D62" s="2" t="inlineStr">
        <is>
          <t>Falla de visualización en el escritorio virtual</t>
        </is>
      </c>
      <c r="E62" s="2" t="inlineStr">
        <is>
          <t>Asignado</t>
        </is>
      </c>
      <c r="F62" s="2" t="inlineStr">
        <is>
          <t>Usuario: El usuario JOSE BERNARDO GAITAN MEDINA se comunica con la mesa de servicio para notificar una falla en el escritorio virtual.
Informa: El usuario informa que presenta inconvenientes con el escritorio virtual. Se realiza conexión remota para validar la novedad reportada y se evidencia que la pantalla del escritorio virtual se torna de color negro, impidiendo su correcta visualización.
Ubicación: Movilidad.
Tiempo: 7:48 a. m. 24/07/2026.
Impacto: No especificada.
Placa de equipo: No especificada.
Evidencias:
1. Se realiza conexión remota al equipo del usuario.
2. Se valida la novedad reportada.
3. Se evidencia que la pantalla del escritorio virtual se torna de color negro.
4. Se documenta la novedad para continuar con la gestión correspondiente.</t>
        </is>
      </c>
      <c r="G62" s="2" t="inlineStr">
        <is>
          <t>SERVICIOS DE TECNOLOGIA-ESCRITORIOS VIRTUALES-FALLA PANTALLA NEGRA</t>
        </is>
      </c>
      <c r="H62" s="2" t="inlineStr">
        <is>
          <t>Telefono</t>
        </is>
      </c>
      <c r="I62" s="2" t="inlineStr">
        <is>
          <t>Baja</t>
        </is>
      </c>
      <c r="J62" s="4">
        <v>46227.34457175926</v>
      </c>
      <c r="K62" s="2"/>
      <c r="L62" s="2" t="inlineStr">
        <is>
          <t>SPT ESCRITORIO VIRTUAL</t>
        </is>
      </c>
      <c r="M62" s="2" t="inlineStr">
        <is>
          <t>SERVICIOS DE TI</t>
        </is>
      </c>
      <c r="N62" s="2" t="inlineStr">
        <is>
          <t>ESCRITORIO VIRTUAL</t>
        </is>
      </c>
      <c r="O62" s="2" t="inlineStr">
        <is>
          <t>SALUD</t>
        </is>
      </c>
      <c r="P62" s="2"/>
      <c r="Q62" s="2" t="inlineStr">
        <is>
          <t>IDGIBMZTENYZ6AT8OKL7T8OKL7Y1TX</t>
        </is>
      </c>
      <c r="R62" s="2" t="inlineStr">
        <is>
          <t>a) 0-4</t>
        </is>
      </c>
      <c r="S62" s="2" t="inlineStr">
        <is>
          <t>-</t>
        </is>
      </c>
      <c r="T62" s="2" t="inlineStr">
        <is>
          <t>24/07/2026 16:16:11</t>
        </is>
      </c>
    </row>
    <row r="63">
      <c r="A63" s="2" t="inlineStr">
        <is>
          <t>🟢</t>
        </is>
      </c>
      <c r="B63" s="3" t="str">
        <f>HYPERLINK("https://compensar-smartit.onbmc.com/smartit/app/#/incident/AGGGSWY0I24JCAT8NM9DT8NM9DIRHC","INC000000153907")</f>
        <v>INC000000153907</v>
      </c>
      <c r="C63" s="2" t="inlineStr">
        <is>
          <t>No</t>
        </is>
      </c>
      <c r="D63" s="2" t="inlineStr">
        <is>
          <t>Falla en Equipo</t>
        </is>
      </c>
      <c r="E63" s="2" t="inlineStr">
        <is>
          <t>Asignado</t>
        </is>
      </c>
      <c r="F63" s="2" t="inlineStr">
        <is>
          <t>Ubicación para atención del Servicio: LAGOMAR PISO 1 BOLERA
Número de contacto para la atención del servicio: 3003082138
Frente: BIENESTAR Y DESARROLLO SOCIAL
Falla: BLOQUEO
¿Cual es el dispositivo que presenta la falla?: [MONITOR, PORTATIL/PC]
Nombre de equipo (inventario o placa): C91053325	192.168.218.176
Descripción del incidente o falla: No permitió usar la aplicación de intercard debido a espacio del equipo ya que indica que el disco se encuentra lleno.
Adjunto: [AGGGSWY0I24JCAT8NM8LT8NM8LIQO9]
</t>
        </is>
      </c>
      <c r="G63" s="2" t="inlineStr">
        <is>
          <t>SERVICIOS DE TECNOLOGIA-SOPORTE EQUIPOS DE COMPUTO-FALLA</t>
        </is>
      </c>
      <c r="H63" s="2" t="inlineStr">
        <is>
          <t>Portal - Web</t>
        </is>
      </c>
      <c r="I63" s="2" t="inlineStr">
        <is>
          <t>Baja</t>
        </is>
      </c>
      <c r="J63" s="4">
        <v>46226.829618055555</v>
      </c>
      <c r="K63" s="2" t="inlineStr">
        <is>
          <t>FREDY ANDRES AVILA VEGA</t>
        </is>
      </c>
      <c r="L63" s="2" t="inlineStr">
        <is>
          <t>ZONA LAGOMAR</t>
        </is>
      </c>
      <c r="M63" s="2" t="inlineStr">
        <is>
          <t>SERVICIOS DE TI</t>
        </is>
      </c>
      <c r="N63" s="2"/>
      <c r="O63" s="2" t="inlineStr">
        <is>
          <t>BIENESTAR Y DESARROLLO SOCIAL</t>
        </is>
      </c>
      <c r="P63" s="2"/>
      <c r="Q63" s="2" t="inlineStr">
        <is>
          <t>AGGGSWY0I24JCAT8NM9DT8NM9DIRHC</t>
        </is>
      </c>
      <c r="R63" s="2" t="inlineStr">
        <is>
          <t>a) 0-4</t>
        </is>
      </c>
      <c r="S63" s="2" t="inlineStr">
        <is>
          <t>-</t>
        </is>
      </c>
      <c r="T63" s="2" t="inlineStr">
        <is>
          <t>27/07/2026 07:46:06</t>
        </is>
      </c>
    </row>
    <row r="64">
      <c r="A64" s="2" t="inlineStr">
        <is>
          <t>🟢</t>
        </is>
      </c>
      <c r="B64" s="3" t="str">
        <f>HYPERLINK("https://compensar-smartit.onbmc.com/smartit/app/#/incident/IDGGSWY0I24JCAT8NT3ZT8NT3Z2C7F","INC000000153909")</f>
        <v>INC000000153909</v>
      </c>
      <c r="C64" s="2" t="inlineStr">
        <is>
          <t>No</t>
        </is>
      </c>
      <c r="D64" s="2" t="inlineStr">
        <is>
          <t>Falla acceso remoto</t>
        </is>
      </c>
      <c r="E64" s="2" t="inlineStr">
        <is>
          <t>En curso</t>
        </is>
      </c>
      <c r="F64" s="2" t="inlineStr">
        <is>
          <t>Usuario: Ana Janeth Salazar Vargas
Informa: Falla acceso remoto, el pc se queda en espera y no permite avanzar, se adjunta evidencia.
Ubicación: Calle 26, Piso 5, Puesto 514
Tiempo: 1 dia
Impacto: 1 Usuario</t>
        </is>
      </c>
      <c r="G64" s="2" t="inlineStr">
        <is>
          <t>SERVICIOS DE TECNOLOGIA-SOPORTE EQUIPOS DE COMPUTO-FALLA DEL SISTEMA OPERATIVO</t>
        </is>
      </c>
      <c r="H64" s="2" t="inlineStr">
        <is>
          <t>Telefono</t>
        </is>
      </c>
      <c r="I64" s="2" t="inlineStr">
        <is>
          <t>Baja</t>
        </is>
      </c>
      <c r="J64" s="4">
        <v>46226.94005787037</v>
      </c>
      <c r="K64" s="2" t="inlineStr">
        <is>
          <t>CAMILO ANDRES GONZALEZ NARVAEZ</t>
        </is>
      </c>
      <c r="L64" s="2" t="inlineStr">
        <is>
          <t>SPT CABECERA CALLE 26</t>
        </is>
      </c>
      <c r="M64" s="2" t="inlineStr">
        <is>
          <t>SERVICIOS DE TI</t>
        </is>
      </c>
      <c r="N64" s="2" t="inlineStr">
        <is>
          <t>C000125</t>
        </is>
      </c>
      <c r="O64" s="2" t="inlineStr">
        <is>
          <t>SALUD</t>
        </is>
      </c>
      <c r="P64" s="2" t="inlineStr">
        <is>
          <t>SOLUCION DEFINITIVA</t>
        </is>
      </c>
      <c r="Q64" s="2" t="inlineStr">
        <is>
          <t>IDGGSWY0I24JCAT8NT3ZT8NT3Z2C7F</t>
        </is>
      </c>
      <c r="R64" s="2" t="inlineStr">
        <is>
          <t>a) 0-4</t>
        </is>
      </c>
      <c r="S64" s="2" t="inlineStr">
        <is>
          <t>-</t>
        </is>
      </c>
      <c r="T64" s="2" t="inlineStr">
        <is>
          <t>24/07/2026 14:00:00</t>
        </is>
      </c>
    </row>
    <row r="65">
      <c r="A65" s="2" t="inlineStr">
        <is>
          <t>🟢</t>
        </is>
      </c>
      <c r="B65" s="3" t="str">
        <f>HYPERLINK("https://compensar-smartit.onbmc.com/smartit/app/#/incident/IDGGSWY0I24JCAT8O4PHT8O4PH83K5","INC000000153912")</f>
        <v>INC000000153912</v>
      </c>
      <c r="C65" s="2" t="inlineStr">
        <is>
          <t>No</t>
        </is>
      </c>
      <c r="D65" s="2" t="inlineStr">
        <is>
          <t>Falla de navegación en equipo corporativo</t>
        </is>
      </c>
      <c r="E65" s="2" t="inlineStr">
        <is>
          <t>Asignado</t>
        </is>
      </c>
      <c r="F65" s="2" t="inlineStr">
        <is>
          <t>Usuario: Lizeth Yolanda Andrade Astudillo
CC: 1019125671
Tel: 3209007202
Informa: Funcionaria indica que el equipo corporativo no le permite navegar por Internet, lo que impide el acceso a los servicios y aplicaciones requeridos para el desarrollo de sus actividades laborales.
Ubicación: Carrera 69 - Torre: A Piso: 1 Area: Consultorio 12 - Medicina General
Tiempo: 6:00 a. m. 24/07/2026
Impacto: 1
Evidencias: Se brinda soporte de primer nivel. Se intenta realizar conexión remota mediante la herramienta de Asistencia Rápida; sin embargo, no fue posible establecer la sesión para efectuar las validaciones correspondientes. Se verifica que el equipo corporativo cuenta con conexión a internet; no obstante, la funcionaria informa que no le permite navegar. Debido a la persistencia de la novedad y a que no fue posible realizar el soporte remoto, se documenta el caso para continuar con las validaciones correspondientes y determinar la causa del inconveniente.</t>
        </is>
      </c>
      <c r="G65" s="2" t="inlineStr">
        <is>
          <t>SERVICIOS DE TECNOLOGIA-APLICACIONES DE NEGOCIO-FALLA</t>
        </is>
      </c>
      <c r="H65" s="2" t="inlineStr">
        <is>
          <t>Telefono</t>
        </is>
      </c>
      <c r="I65" s="2" t="inlineStr">
        <is>
          <t>Baja</t>
        </is>
      </c>
      <c r="J65" s="4">
        <v>46227.259050925924</v>
      </c>
      <c r="K65" s="2" t="inlineStr">
        <is>
          <t>JUAN CAMILO RINCON BLANCO</t>
        </is>
      </c>
      <c r="L65" s="2" t="inlineStr">
        <is>
          <t>SPT CABECERA CARRERA 69</t>
        </is>
      </c>
      <c r="M65" s="2" t="inlineStr">
        <is>
          <t>SERVICIOS DE TI</t>
        </is>
      </c>
      <c r="N65" s="2" t="inlineStr">
        <is>
          <t>SISTEMA OPERATIVO WINDOWS</t>
        </is>
      </c>
      <c r="O65" s="2" t="inlineStr">
        <is>
          <t>SALUD</t>
        </is>
      </c>
      <c r="P65" s="2"/>
      <c r="Q65" s="2" t="inlineStr">
        <is>
          <t>IDGGSWY0I24JCAT8O4PHT8O4PH83K5</t>
        </is>
      </c>
      <c r="R65" s="2" t="inlineStr">
        <is>
          <t>a) 0-4</t>
        </is>
      </c>
      <c r="S65" s="2" t="inlineStr">
        <is>
          <t>-</t>
        </is>
      </c>
      <c r="T65" s="2" t="inlineStr">
        <is>
          <t>24/07/2026 14:13:02</t>
        </is>
      </c>
    </row>
    <row r="66">
      <c r="A66" s="2" t="inlineStr">
        <is>
          <t>🟢</t>
        </is>
      </c>
      <c r="B66" s="3" t="str">
        <f>HYPERLINK("https://compensar-smartit.onbmc.com/smartit/app/#/incident/AGGGSWY0I24JCAT8O5BHT8O5BH89WX","INC000000153913")</f>
        <v>INC000000153913</v>
      </c>
      <c r="C66" s="2" t="inlineStr">
        <is>
          <t>No</t>
        </is>
      </c>
      <c r="D66" s="2" t="inlineStr">
        <is>
          <t>Otras Fallas</t>
        </is>
      </c>
      <c r="E66" s="2" t="inlineStr">
        <is>
          <t>Asignado</t>
        </is>
      </c>
      <c r="F66" s="2" t="inlineStr">
        <is>
          <t>Ubicación para atención del Servicio: CUR PISO 2 GIMNASIO-CUR
Número de contacto para la atención del servicio: 3022195459
Frente: BIENESTAR Y DESARROLLO SOCIAL
Afectación: OTRAS FALLAS
Nombre de equipo (inventario o placa): Tablet de biométrico para toma de foto
Descripción del incidente o falla: La tablet del biométrico para la toma de fotos no tiene red y no permite conectarse a ninguna
</t>
        </is>
      </c>
      <c r="G66" s="2" t="inlineStr">
        <is>
          <t>SERVICIOS DE TECNOLOGIA-GESTION DE APLICACIONES-FALLA</t>
        </is>
      </c>
      <c r="H66" s="2" t="inlineStr">
        <is>
          <t>Portal - Web</t>
        </is>
      </c>
      <c r="I66" s="2" t="inlineStr">
        <is>
          <t>Baja</t>
        </is>
      </c>
      <c r="J66" s="4">
        <v>46227.25716435185</v>
      </c>
      <c r="K66" s="2" t="inlineStr">
        <is>
          <t>KEVIN ALEXIS GARCIA GUARACA</t>
        </is>
      </c>
      <c r="L66" s="2" t="inlineStr">
        <is>
          <t>ZONA CENTRO</t>
        </is>
      </c>
      <c r="M66" s="2" t="inlineStr">
        <is>
          <t>SERVICIOS DE TI</t>
        </is>
      </c>
      <c r="N66" s="2"/>
      <c r="O66" s="2" t="inlineStr">
        <is>
          <t>BIENESTAR Y DESARROLLO SOCIAL</t>
        </is>
      </c>
      <c r="P66" s="2"/>
      <c r="Q66" s="2" t="inlineStr">
        <is>
          <t>AGGGSWY0I24JCAT8O5BHT8O5BH89WX</t>
        </is>
      </c>
      <c r="R66" s="2" t="inlineStr">
        <is>
          <t>a) 0-4</t>
        </is>
      </c>
      <c r="S66" s="2" t="inlineStr">
        <is>
          <t>-</t>
        </is>
      </c>
      <c r="T66" s="2" t="inlineStr">
        <is>
          <t>27/07/2026 06:10:19</t>
        </is>
      </c>
    </row>
    <row r="67">
      <c r="A67" s="2" t="inlineStr">
        <is>
          <t>🟢</t>
        </is>
      </c>
      <c r="B67" s="3" t="str">
        <f>HYPERLINK("https://compensar-smartit.onbmc.com/smartit/app/#/incident/IDGGSWY0I24JCAT8O507T8O5078NPP","INC000000153915")</f>
        <v>INC000000153915</v>
      </c>
      <c r="C67" s="2" t="inlineStr">
        <is>
          <t>No</t>
        </is>
      </c>
      <c r="D67" s="2" t="inlineStr">
        <is>
          <t>equipo no se encuentra conectado red</t>
        </is>
      </c>
      <c r="E67" s="2" t="inlineStr">
        <is>
          <t>Asignado</t>
        </is>
      </c>
      <c r="F67" s="2" t="inlineStr">
        <is>
          <t>Usuario:     Claudia Patricia Rojas
CC:          39758620
Tel:         3204438258
Informa:     La colaboradora reporta que el equipo no se encuentra conectado a la red. A pesar de reconectar y ajustar el cableado persiste la falla, los leds de los puertos no emiten luz, se deduce posible daño en el cableado
Ubicación:   CRA 69, piso 4 torre administrativa, puesto 153
Tiempo:      6:30
Impacto:     1
Evidencias:</t>
        </is>
      </c>
      <c r="G67" s="2" t="inlineStr">
        <is>
          <t>SERVICIOS DE TECNOLOGIA-REDES-CONEXION FALLIDA</t>
        </is>
      </c>
      <c r="H67" s="2" t="inlineStr">
        <is>
          <t>Telefono</t>
        </is>
      </c>
      <c r="I67" s="2" t="inlineStr">
        <is>
          <t>Baja</t>
        </is>
      </c>
      <c r="J67" s="4">
        <v>46227.26226851852</v>
      </c>
      <c r="K67" s="2" t="inlineStr">
        <is>
          <t>JUAN CAMILO RINCON BLANCO</t>
        </is>
      </c>
      <c r="L67" s="2" t="inlineStr">
        <is>
          <t>SPT CABECERA CARRERA 69</t>
        </is>
      </c>
      <c r="M67" s="2" t="inlineStr">
        <is>
          <t>SERVICIOS DE TI</t>
        </is>
      </c>
      <c r="N67" s="2"/>
      <c r="O67" s="2" t="inlineStr">
        <is>
          <t>SALUD</t>
        </is>
      </c>
      <c r="P67" s="2"/>
      <c r="Q67" s="2" t="inlineStr">
        <is>
          <t>IDGGSWY0I24JCAT8O507T8O5078NPP</t>
        </is>
      </c>
      <c r="R67" s="2" t="inlineStr">
        <is>
          <t>a) 0-4</t>
        </is>
      </c>
      <c r="S67" s="2" t="inlineStr">
        <is>
          <t>-</t>
        </is>
      </c>
      <c r="T67" s="2" t="inlineStr">
        <is>
          <t>24/07/2026 14:17:40</t>
        </is>
      </c>
    </row>
    <row r="68">
      <c r="A68" s="2" t="inlineStr">
        <is>
          <t>🟢</t>
        </is>
      </c>
      <c r="B68" s="3" t="str">
        <f>HYPERLINK("https://compensar-smartit.onbmc.com/smartit/app/#/incident/AGGGSWY0I24JCAT8O5S7T8O5S78VAI","INC000000153916")</f>
        <v>INC000000153916</v>
      </c>
      <c r="C68" s="2" t="inlineStr">
        <is>
          <t>No</t>
        </is>
      </c>
      <c r="D68" s="2" t="inlineStr">
        <is>
          <t>Fallas de Aplicaciones</t>
        </is>
      </c>
      <c r="E68" s="2" t="inlineStr">
        <is>
          <t>Asignado</t>
        </is>
      </c>
      <c r="F68" s="2" t="inlineStr">
        <is>
          <t>Ubicación para atención del Servicio: CRA 69 TORRE A PISO 1 CONSULTORIO 12 MED. GRAL
Número de contacto para la atención del servicio: 3134599145
Frente: SALUD
Aplicación Afectada: INTERNET
Numero de Usuarios Afectados: 1
Fecha y hora en que se presenta el incidente:: 2026-07-24T11:25:00.000Z
Proceso al que pertenece (Sigla – Nombre): PSS 100
¿En qué sección de la aplicación ocurre el Error?: [OPCIÓN]
¿Es Recurrente el Error?: SI
El error es: PARCIAL
¿Bajo qué casos particulares se presenta el error?: el pc del consultorio 12 no tien acceso a internet
Conoce alguna solución temporal que pueda aplicarse o que haya sido aplicada anteriormente?: se  activo el proxi igual continua el error
Escriba detalladamente el error donde clarifique el flujo paso a paso de cómo se presentó: el pc del consultorio 12 no tien acceso a internet
Comportamiento esperado de la aplicación: poder ingresar a internet
</t>
        </is>
      </c>
      <c r="G68" s="2" t="inlineStr">
        <is>
          <t>SERVICIOS DE TECNOLOGIA-GESTION DE APLICACIONES-FALLA</t>
        </is>
      </c>
      <c r="H68" s="2" t="inlineStr">
        <is>
          <t>Portal - Web</t>
        </is>
      </c>
      <c r="I68" s="2" t="inlineStr">
        <is>
          <t>Baja</t>
        </is>
      </c>
      <c r="J68" s="4">
        <v>46227.268530092595</v>
      </c>
      <c r="K68" s="2" t="inlineStr">
        <is>
          <t>IVAN FELIPE GARCIA MANRIQUE</t>
        </is>
      </c>
      <c r="L68" s="2" t="inlineStr">
        <is>
          <t>SPT CABECERA CARRERA 69</t>
        </is>
      </c>
      <c r="M68" s="2" t="inlineStr">
        <is>
          <t>SERVICIOS DE TI</t>
        </is>
      </c>
      <c r="N68" s="2"/>
      <c r="O68" s="2" t="inlineStr">
        <is>
          <t>SALUD</t>
        </is>
      </c>
      <c r="P68" s="2"/>
      <c r="Q68" s="2" t="inlineStr">
        <is>
          <t>AGGGSWY0I24JCAT8O5S7T8O5S78VAI</t>
        </is>
      </c>
      <c r="R68" s="2" t="inlineStr">
        <is>
          <t>a) 0-4</t>
        </is>
      </c>
      <c r="S68" s="2" t="inlineStr">
        <is>
          <t>-</t>
        </is>
      </c>
      <c r="T68" s="2" t="inlineStr">
        <is>
          <t>24/07/2026 14:26:41</t>
        </is>
      </c>
    </row>
    <row r="69">
      <c r="A69" s="2" t="inlineStr">
        <is>
          <t>🟢</t>
        </is>
      </c>
      <c r="B69" s="3" t="str">
        <f>HYPERLINK("https://compensar-smartit.onbmc.com/smartit/app/#/incident/AGGGSWY0I24JCAT8O6K5T8O6K59HYE","INC000000153917")</f>
        <v>INC000000153917</v>
      </c>
      <c r="C69" s="2" t="inlineStr">
        <is>
          <t>No</t>
        </is>
      </c>
      <c r="D69" s="2" t="inlineStr">
        <is>
          <t>Otras Fallas</t>
        </is>
      </c>
      <c r="E69" s="2" t="inlineStr">
        <is>
          <t>Asignado</t>
        </is>
      </c>
      <c r="F69" s="2" t="inlineStr">
        <is>
          <t>Ubicación para atención del Servicio: CRA 69 TORRE A PISO 1 CONSULTORIO 14 MED. GRAL
Número de contacto para la atención del servicio: 3134599145
Frente: SALUD
Afectación: OTRO SERVICIO
Nombre del Servicio Afectado: NO PERMITE INGRESO SAP
Nombre de equipo (inventario o placa): 014627
Descripción del incidente o falla: BUEN DIA SE SOLCIITA REVISAR EL INGRESO A SAP DE LA DRA QUE SE ENCUENTRA REALZIANDO CONSULTA EN EL CONSULTORIO 17
</t>
        </is>
      </c>
      <c r="G69" s="2" t="inlineStr">
        <is>
          <t>SERVICIOS DE TECNOLOGIA-GESTION DE APLICACIONES-FALLA</t>
        </is>
      </c>
      <c r="H69" s="2" t="inlineStr">
        <is>
          <t>Portal - Web</t>
        </is>
      </c>
      <c r="I69" s="2" t="inlineStr">
        <is>
          <t>Baja</t>
        </is>
      </c>
      <c r="J69" s="4">
        <v>46227.280173611114</v>
      </c>
      <c r="K69" s="2" t="inlineStr">
        <is>
          <t>IVAN FELIPE GARCIA MANRIQUE</t>
        </is>
      </c>
      <c r="L69" s="2" t="inlineStr">
        <is>
          <t>SPT CABECERA CARRERA 69</t>
        </is>
      </c>
      <c r="M69" s="2" t="inlineStr">
        <is>
          <t>SERVICIOS DE TI</t>
        </is>
      </c>
      <c r="N69" s="2"/>
      <c r="O69" s="2" t="inlineStr">
        <is>
          <t>SALUD</t>
        </is>
      </c>
      <c r="P69" s="2"/>
      <c r="Q69" s="2" t="inlineStr">
        <is>
          <t>AGGGSWY0I24JCAT8O6K5T8O6K59HYE</t>
        </is>
      </c>
      <c r="R69" s="2" t="inlineStr">
        <is>
          <t>a) 0-4</t>
        </is>
      </c>
      <c r="S69" s="2" t="inlineStr">
        <is>
          <t>-</t>
        </is>
      </c>
      <c r="T69" s="2" t="inlineStr">
        <is>
          <t>24/07/2026 14:43:27</t>
        </is>
      </c>
    </row>
    <row r="70">
      <c r="A70" s="2" t="inlineStr">
        <is>
          <t>🟢</t>
        </is>
      </c>
      <c r="B70" s="3" t="str">
        <f>HYPERLINK("https://compensar-smartit.onbmc.com/smartit/app/#/incident/IDGGSWY0I24JCAT8O816T8O816K465","INC000000153919")</f>
        <v>INC000000153919</v>
      </c>
      <c r="C70" s="2" t="inlineStr">
        <is>
          <t>No</t>
        </is>
      </c>
      <c r="D70" s="2" t="inlineStr">
        <is>
          <t>Falla de acceso a escritorio virtual por falta de recursos</t>
        </is>
      </c>
      <c r="E70" s="2" t="inlineStr">
        <is>
          <t>En curso</t>
        </is>
      </c>
      <c r="F70" s="2" t="inlineStr">
        <is>
          <t>Usuario         : Karen Gesenia Duque Gil
CC              : 1024536103
Tel             : 3134656782
Informa         : La colaboradora se comunica con la Mesa de Servicio reportando una falla al intentar ingresar al escritorio virtual, debido a un mensaje de falta de recursos que impide el acceso.
Ubicación       : Teletrabajo
Tiempo          : 7:16 a. m. 24/07/2026
Impacto         : 1
Placa de equipo : No especificada
Evidencias      : No especificada</t>
        </is>
      </c>
      <c r="G70" s="2" t="inlineStr">
        <is>
          <t>SERVICIOS DE TECNOLOGIA-ESCRITORIOS VIRTUALES-ERROR NO HAY RECURSOS DISPONIBLES</t>
        </is>
      </c>
      <c r="H70" s="2" t="inlineStr">
        <is>
          <t>Telefono</t>
        </is>
      </c>
      <c r="I70" s="2" t="inlineStr">
        <is>
          <t>Baja</t>
        </is>
      </c>
      <c r="J70" s="4">
        <v>46227.311064814814</v>
      </c>
      <c r="K70" s="2" t="inlineStr">
        <is>
          <t>FABIAN JESSID PASTRANA AGUIRRE</t>
        </is>
      </c>
      <c r="L70" s="2" t="inlineStr">
        <is>
          <t>SPT ESCRITORIO VIRTUAL</t>
        </is>
      </c>
      <c r="M70" s="2" t="inlineStr">
        <is>
          <t>SERVICIOS DE TI</t>
        </is>
      </c>
      <c r="N70" s="2" t="inlineStr">
        <is>
          <t>ESCRITORIO VIRTUAL</t>
        </is>
      </c>
      <c r="O70" s="2" t="inlineStr">
        <is>
          <t>SALUD</t>
        </is>
      </c>
      <c r="P70" s="2"/>
      <c r="Q70" s="2" t="inlineStr">
        <is>
          <t>IDGGSWY0I24JCAT8O816T8O816K465</t>
        </is>
      </c>
      <c r="R70" s="2" t="inlineStr">
        <is>
          <t>a) 0-4</t>
        </is>
      </c>
      <c r="S70" s="2" t="inlineStr">
        <is>
          <t>-</t>
        </is>
      </c>
      <c r="T70" s="2" t="inlineStr">
        <is>
          <t>24/07/2026 15:27:56</t>
        </is>
      </c>
    </row>
    <row r="71">
      <c r="A71" s="2" t="inlineStr">
        <is>
          <t>🟢</t>
        </is>
      </c>
      <c r="B71" s="3" t="str">
        <f>HYPERLINK("https://compensar-smartit.onbmc.com/smartit/app/#/incident/IDGGSWY0I24JCAT8OK4GT8OK4GMCIM","INC000000153923")</f>
        <v>INC000000153923</v>
      </c>
      <c r="C71" s="2" t="inlineStr">
        <is>
          <t>No</t>
        </is>
      </c>
      <c r="D71" s="2" t="inlineStr">
        <is>
          <t>Falla de ingreso a correo por error en navegador</t>
        </is>
      </c>
      <c r="E71" s="2" t="inlineStr">
        <is>
          <t>Asignado</t>
        </is>
      </c>
      <c r="F71" s="2" t="inlineStr">
        <is>
          <t>Usuario         : Julian Andres Camero Bejarano
CC              : 1020742439
Tel             : 3192117128
Informa         : El colaborador se comunica con la Mesa de Servicio reportando falla de ingreso al correo corporativo, indicando que presenta un error en el navegador que impide el acceso al servicio.
Ubicación       : Viva 1A Chapinero - piso 2 - oficina 
Tiempo          : 8:00 a. m. 24/07/2026
Impacto         : 1
Placa de equipo : C008820
Evidencias      : No especificada</t>
        </is>
      </c>
      <c r="G71" s="2" t="inlineStr">
        <is>
          <t>SERVICIOS DE TECNOLOGIA-REDES-SIN ACCESO A LA RED</t>
        </is>
      </c>
      <c r="H71" s="2" t="inlineStr">
        <is>
          <t>Telefono</t>
        </is>
      </c>
      <c r="I71" s="2" t="inlineStr">
        <is>
          <t>Baja</t>
        </is>
      </c>
      <c r="J71" s="4">
        <v>46227.33929398148</v>
      </c>
      <c r="K71" s="2" t="inlineStr">
        <is>
          <t>JEISON ANDRES REYES ROMERO</t>
        </is>
      </c>
      <c r="L71" s="2" t="inlineStr">
        <is>
          <t>ZONA ORIENTE</t>
        </is>
      </c>
      <c r="M71" s="2" t="inlineStr">
        <is>
          <t>SERVICIOS DE TI</t>
        </is>
      </c>
      <c r="N71" s="2" t="inlineStr">
        <is>
          <t>C008820</t>
        </is>
      </c>
      <c r="O71" s="2" t="inlineStr">
        <is>
          <t>SALUD</t>
        </is>
      </c>
      <c r="P71" s="2"/>
      <c r="Q71" s="2" t="inlineStr">
        <is>
          <t>IDGGSWY0I24JCAT8OK4GT8OK4GMCIM</t>
        </is>
      </c>
      <c r="R71" s="2" t="inlineStr">
        <is>
          <t>a) 0-4</t>
        </is>
      </c>
      <c r="S71" s="2" t="inlineStr">
        <is>
          <t>-</t>
        </is>
      </c>
      <c r="T71" s="2" t="inlineStr">
        <is>
          <t>27/07/2026 08:08:35</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271999999999998" customWidth="1"/>
    <col min="2" max="2" width="41.064" customWidth="1"/>
    <col min="3" max="3" width="29.5" customWidth="1"/>
    <col min="4" max="4" width="180.54" customWidth="1"/>
    <col min="7" max="7" width="37.052" customWidth="1"/>
    <col min="9" max="9" width="23.836" customWidth="1"/>
    <col min="10" max="10" width="44.367999999999995" customWidth="1"/>
  </cols>
  <sheetData>
    <row r="1">
      <c r="A1" s="1" t="inlineStr">
        <is>
          <t>🚦</t>
        </is>
      </c>
      <c r="B1" s="1" t="inlineStr">
        <is>
          <t>No Caso</t>
        </is>
      </c>
      <c r="C1" s="1" t="inlineStr">
        <is>
          <t>SLA Vencido</t>
        </is>
      </c>
      <c r="D1" s="1" t="inlineStr">
        <is>
          <t>Resumen</t>
        </is>
      </c>
      <c r="E1" s="1" t="inlineStr">
        <is>
          <t>Estado</t>
        </is>
      </c>
      <c r="F1" s="1" t="inlineStr">
        <is>
          <t>Descripcion</t>
        </is>
      </c>
      <c r="G1" s="1" t="inlineStr">
        <is>
          <t>Categoria</t>
        </is>
      </c>
      <c r="H1" s="1" t="inlineStr">
        <is>
          <t>Fuente Reportada</t>
        </is>
      </c>
      <c r="I1" s="1" t="inlineStr">
        <is>
          <t>Prioridad</t>
        </is>
      </c>
      <c r="J1" s="1" t="inlineStr">
        <is>
          <t>Fecha de creación</t>
        </is>
      </c>
      <c r="K1" s="1" t="inlineStr">
        <is>
          <t>Asignado a</t>
        </is>
      </c>
      <c r="L1" s="1" t="inlineStr">
        <is>
          <t>Grupo</t>
        </is>
      </c>
      <c r="M1" s="1" t="inlineStr">
        <is>
          <t>Organizacion de Soporte</t>
        </is>
      </c>
      <c r="N1" s="1" t="inlineStr">
        <is>
          <t>CI</t>
        </is>
      </c>
      <c r="O1" s="1" t="inlineStr">
        <is>
          <t>Frente de Negocio</t>
        </is>
      </c>
      <c r="P1" s="1" t="inlineStr">
        <is>
          <t>Causa</t>
        </is>
      </c>
      <c r="Q1" s="1" t="inlineStr">
        <is>
          <t>InstanceId</t>
        </is>
      </c>
      <c r="R1" s="1" t="inlineStr">
        <is>
          <t>Antiguedad</t>
        </is>
      </c>
      <c r="S1" s="1" t="inlineStr">
        <is>
          <t>Fecha de Reactivación Pendiente</t>
        </is>
      </c>
      <c r="T1" s="1" t="inlineStr">
        <is>
          <t>Organization</t>
        </is>
      </c>
      <c r="U1" s="1" t="inlineStr">
        <is>
          <t>Fecha Incumplimiento</t>
        </is>
      </c>
      <c r="V1" s="1" t="inlineStr">
        <is>
          <t>Tiempo incumplimiento previsto</t>
        </is>
      </c>
    </row>
    <row r="2">
      <c r="A2" s="2" t="inlineStr">
        <is>
          <t>🟢</t>
        </is>
      </c>
      <c r="B2" s="3" t="str">
        <f>HYPERLINK("https://compensar-smartit.onbmc.com/smartit/app/#/workorder/AGGDUBUKGM2Y8AT8JVEBT8JVEBOD7C","WO0000000305253")</f>
        <v>WO0000000305253</v>
      </c>
      <c r="C2" s="2" t="inlineStr">
        <is>
          <t>No</t>
        </is>
      </c>
      <c r="D2" s="2" t="inlineStr">
        <is>
          <t>PERMISOS GENERALES</t>
        </is>
      </c>
      <c r="E2" s="2" t="inlineStr">
        <is>
          <t>Pendiente</t>
        </is>
      </c>
      <c r="F2" s="2" t="inlineStr">
        <is>
          <t>Extensión: 310 507 8239
Ubicación: BLOQUE F TORRE F PISO 3 INNOVACION
Frente: CENTRO DE SERVICIOS COMPARTIDOS
Tipo de Servicio: EQUIPO EXTERNO RED COMPENSAR
Descripción: Agradecemos el agendamiento y escaneo de vulnerabilidades del equipo asignado a Paola Ramirez - Proveedor GreenSQA.
Titulo: Escaneo de vulnerabilidades equipo externo.
Tipo de Servicio: EQUIPO EXTERNO RED COMPENSAR</t>
        </is>
      </c>
      <c r="G2" s="2" t="inlineStr">
        <is>
          <t>SERVICIOS DE TECNOLOGIA-SEGURIDAD DE LA INFORMACION-EQUIPO EXTERNO RED COMPENSAR</t>
        </is>
      </c>
      <c r="H2" s="2" t="inlineStr">
        <is>
          <t>Web</t>
        </is>
      </c>
      <c r="I2" s="2" t="inlineStr">
        <is>
          <t>Alta</t>
        </is>
      </c>
      <c r="J2" s="5">
        <v>46219.39791666667</v>
      </c>
      <c r="K2" s="2" t="inlineStr">
        <is>
          <t>GERLYN RENTERIA OROZCO</t>
        </is>
      </c>
      <c r="L2" s="2" t="inlineStr">
        <is>
          <t>ZONA CENTRO</t>
        </is>
      </c>
      <c r="M2" s="2" t="inlineStr">
        <is>
          <t>SERVICIOS DE TI</t>
        </is>
      </c>
      <c r="N2" s="2"/>
      <c r="O2" s="2" t="inlineStr">
        <is>
          <t>CENTRO DE SERVICIOS COMPARTIDOS</t>
        </is>
      </c>
      <c r="P2" s="2"/>
      <c r="Q2" s="2" t="inlineStr">
        <is>
          <t>AGGDUBUKGM2Y8AT8JVEBT8JVEBOD7C</t>
        </is>
      </c>
      <c r="R2" s="2" t="inlineStr">
        <is>
          <t>b) 5-10</t>
        </is>
      </c>
      <c r="S2" s="4">
        <v>46227.75</v>
      </c>
      <c r="T2" s="2" t="inlineStr">
        <is>
          <t>CAJA DE COMPENSACION</t>
        </is>
      </c>
      <c r="U2" s="2" t="inlineStr">
        <is>
          <t>-</t>
        </is>
      </c>
      <c r="V2" s="2" t="inlineStr">
        <is>
          <t>27/07/2026 10:03</t>
        </is>
      </c>
    </row>
    <row r="3">
      <c r="A3" s="2" t="inlineStr">
        <is>
          <t>🟢</t>
        </is>
      </c>
      <c r="B3" s="3" t="str">
        <f>HYPERLINK("https://compensar-smartit.onbmc.com/smartit/app/#/workorder/IDGGSWY0I24JCAT7UUMNT7UUMNOVNN","WO0000000305335")</f>
        <v>WO0000000305335</v>
      </c>
      <c r="C3" s="2" t="inlineStr">
        <is>
          <t>No</t>
        </is>
      </c>
      <c r="D3" s="2" t="inlineStr">
        <is>
          <t>Cambio TECLADO ALAMBRICO DELL OPTIPLEX 3050 T1 activo 152800003418</t>
        </is>
      </c>
      <c r="E3" s="2" t="inlineStr">
        <is>
          <t>En curso</t>
        </is>
      </c>
      <c r="F3" s="2" t="inlineStr">
        <is>
          <t>BUEN DÍA, TECLADO NO FUNCIONA, POR FAVOR COMUNICAR A ERICK TORRES, UBICAD@ EN LA DIRECCIÓN CALLE 19 NO 79 - 37, COLEGIO LA FELICIDAD (IED), AL NÚMERO CELULAR 3102384485, ACTIVO 152800003418</t>
        </is>
      </c>
      <c r="G3" s="2" t="inlineStr">
        <is>
          <t>SERVICIOS DE TECNOLOGIA-ACTIVOS FIJOS TECNOLOGIA-ADQUISICION PARTES SIN GARANTIA</t>
        </is>
      </c>
      <c r="H3" s="2" t="inlineStr">
        <is>
          <t>Web</t>
        </is>
      </c>
      <c r="I3" s="2" t="inlineStr">
        <is>
          <t>Baja</t>
        </is>
      </c>
      <c r="J3" s="5">
        <v>46211.29236111111</v>
      </c>
      <c r="K3" s="2" t="inlineStr">
        <is>
          <t>NICK STEVE TRIANA LOPEZ</t>
        </is>
      </c>
      <c r="L3" s="2" t="inlineStr">
        <is>
          <t>ZONA OCCIDENTE</t>
        </is>
      </c>
      <c r="M3" s="2" t="inlineStr">
        <is>
          <t>SERVICIOS DE TI</t>
        </is>
      </c>
      <c r="N3" s="2"/>
      <c r="O3" s="2" t="inlineStr">
        <is>
          <t>BIENESTAR Y DESARROLLO SOCIAL</t>
        </is>
      </c>
      <c r="P3" s="2"/>
      <c r="Q3" s="2" t="inlineStr">
        <is>
          <t>IDGGSWY0I24JCAT7UUMNT7UUMNOVNN</t>
        </is>
      </c>
      <c r="R3" s="2" t="inlineStr">
        <is>
          <t>c) 11-30</t>
        </is>
      </c>
      <c r="S3" s="4"/>
      <c r="T3" s="2"/>
      <c r="U3" s="2" t="inlineStr">
        <is>
          <t>-</t>
        </is>
      </c>
      <c r="V3" s="2" t="inlineStr">
        <is>
          <t>14/08/2026 13:09</t>
        </is>
      </c>
    </row>
    <row r="4">
      <c r="A4" s="2" t="inlineStr">
        <is>
          <t>🟢</t>
        </is>
      </c>
      <c r="B4" s="3" t="str">
        <f>HYPERLINK("https://compensar-smartit.onbmc.com/smartit/app/#/workorder/IDGIBMZTENYZ6AT8G38PT8G38PY1L0","WO0000000307624")</f>
        <v>WO0000000307624</v>
      </c>
      <c r="C4" s="2" t="inlineStr">
        <is>
          <t>No</t>
        </is>
      </c>
      <c r="D4" s="2" t="inlineStr">
        <is>
          <t>Envio/instalación MONITOR DESKTOP DELL OPTIPLEX 3050 T1 activo 152800003768</t>
        </is>
      </c>
      <c r="E4" s="2" t="inlineStr">
        <is>
          <t>En curso</t>
        </is>
      </c>
      <c r="F4" s="2" t="inlineStr">
        <is>
          <t>BUEN DÍA, MONITOR NO PRENDE, YA SE A CARGADO LAS ORDES NO 629424 , 658392 EN LAS CUALES LA SOLUCION NO ES LA ADECUADA , POR FAVOR COMUNICAR A JAKELINE HURTADO MORENO, UBICAD@ EN LA DIRECCIÓN CARRERA 80 B NO 6-71, COLEGIO EMMA REYES (IED), AL NÚMERO CELULAR 3016945284, ACTIVO 152800003768 EN ELCASO DE REQUERIR CAMBIO DE LOS PERIFERICOS PARA LA ATENCION , POR FAVOR DEJAR IMPLEMENTO DE CONTINGENCIA PARA CONTINUIDAD DE LA OPERACION</t>
        </is>
      </c>
      <c r="G4" s="2" t="inlineStr">
        <is>
          <t>SERVICIOS DE TECNOLOGIA-ACTIVOS FIJOS TECNOLOGIA-ADQUISICION PARTES SIN GARANTIA</t>
        </is>
      </c>
      <c r="H4" s="2" t="inlineStr">
        <is>
          <t>Web</t>
        </is>
      </c>
      <c r="I4" s="2" t="inlineStr">
        <is>
          <t>Baja</t>
        </is>
      </c>
      <c r="J4" s="5">
        <v>46217.51597222222</v>
      </c>
      <c r="K4" s="2" t="inlineStr">
        <is>
          <t>NICK STEVE TRIANA LOPEZ</t>
        </is>
      </c>
      <c r="L4" s="2" t="inlineStr">
        <is>
          <t>ZONA CENTRO</t>
        </is>
      </c>
      <c r="M4" s="2" t="inlineStr">
        <is>
          <t>SERVICIOS DE TI</t>
        </is>
      </c>
      <c r="N4" s="2"/>
      <c r="O4" s="2" t="inlineStr">
        <is>
          <t>BIENESTAR Y DESARROLLO SOCIAL</t>
        </is>
      </c>
      <c r="P4" s="2"/>
      <c r="Q4" s="2" t="inlineStr">
        <is>
          <t>IDGIBMZTENYZ6AT8G38PT8G38PY1L0</t>
        </is>
      </c>
      <c r="R4" s="2" t="inlineStr">
        <is>
          <t>b) 5-10</t>
        </is>
      </c>
      <c r="S4" s="4"/>
      <c r="T4" s="2"/>
      <c r="U4" s="2" t="inlineStr">
        <is>
          <t>-</t>
        </is>
      </c>
      <c r="V4" s="2" t="inlineStr">
        <is>
          <t>13/08/2026 12:23</t>
        </is>
      </c>
    </row>
    <row r="5">
      <c r="A5" s="2" t="inlineStr">
        <is>
          <t>🟢</t>
        </is>
      </c>
      <c r="B5" s="3" t="str">
        <f>HYPERLINK("https://compensar-smartit.onbmc.com/smartit/app/#/workorder/AGGGSWY0I24JCAT8IANPT8IANP1XQ5","WO0000000307988")</f>
        <v>WO0000000307988</v>
      </c>
      <c r="C5" s="2" t="inlineStr">
        <is>
          <t>No</t>
        </is>
      </c>
      <c r="D5" s="2" t="inlineStr">
        <is>
          <t>Aplicación de Usuario Final</t>
        </is>
      </c>
      <c r="E5" s="2" t="inlineStr">
        <is>
          <t>Pendiente</t>
        </is>
      </c>
      <c r="F5" s="2" t="inlineStr">
        <is>
          <t>Ubicación para atención del Servicio: BLOQUE F TORRE F PISO 2 MERCADEO
Número de contacto para la atención del servicio: 3004819609
Frente: BIENESTAR Y DESARROLLO SOCIAL
Titulo: instalar
Descripción: Buen día, agradezco instalar zeus a los siguientes colaboradores:
Ana Maria Buitrago Guacaneme	1033752531
Arbey Fabian Pachon Alarcon	1019072433
Deisy Valentina Aldana Quijano	1023019082
Gloria Yazmin Bernal Ibarra	1020733809
Hasbleidy Nayibe Ramirez Cetina	1023912297
Jenny Alexandra Rodriguez Cortes	1073504571
Laura Valentina Martinez Martinez	1022446743
Llindry Lorena Moreno Torres	1019070106
Marisol Virguez	52270997
Sindy Lorena Diaz Cabiativa	1015456541
Tania Stefanny Castro Castro	1233900585
William Alejandro Parada Navas	1018491997
Yudi Lorena Falla Cano	1007851666
Maria Catalina Antolinez Lopez	1001048222
Fabian Alejandro Zambrano Arciniegas	1030660054
Viviana Paola Guarnizo Sierra	52792229
Jorge Felix  Medina Anchundia	502259
Cindy Nayibe Castiblanco Rocha	1020744314
Tipo de Servicio: INSTALAR DESINSTALAR APLICACION
Aplicación: SWEX36-ZEUS
</t>
        </is>
      </c>
      <c r="G5" s="2" t="inlineStr">
        <is>
          <t>SERVICIOS DE TECNOLOGIA-GESTION DE APLICACIONES-INSTALAR DESINSTALAR APLICACION</t>
        </is>
      </c>
      <c r="H5" s="2" t="inlineStr">
        <is>
          <t>Web</t>
        </is>
      </c>
      <c r="I5" s="2" t="inlineStr">
        <is>
          <t>Baja</t>
        </is>
      </c>
      <c r="J5" s="5">
        <v>46218.40138888889</v>
      </c>
      <c r="K5" s="2" t="inlineStr">
        <is>
          <t>KEVIN ALEXIS GARCIA GUARACA</t>
        </is>
      </c>
      <c r="L5" s="2" t="inlineStr">
        <is>
          <t>ZONA CENTRO</t>
        </is>
      </c>
      <c r="M5" s="2" t="inlineStr">
        <is>
          <t>SERVICIOS DE TI</t>
        </is>
      </c>
      <c r="N5" s="2"/>
      <c r="O5" s="2" t="inlineStr">
        <is>
          <t>BIENESTAR Y DESARROLLO SOCIAL</t>
        </is>
      </c>
      <c r="P5" s="2"/>
      <c r="Q5" s="2" t="inlineStr">
        <is>
          <t>AGGGSWY0I24JCAT8IANPT8IANP1XQ5</t>
        </is>
      </c>
      <c r="R5" s="2" t="inlineStr">
        <is>
          <t>b) 5-10</t>
        </is>
      </c>
      <c r="S5" s="4">
        <v>46227.75</v>
      </c>
      <c r="T5" s="2" t="inlineStr">
        <is>
          <t>CAJA DE COMPENSACION</t>
        </is>
      </c>
      <c r="U5" s="2" t="inlineStr">
        <is>
          <t>-</t>
        </is>
      </c>
      <c r="V5" s="2" t="inlineStr">
        <is>
          <t>24/07/2026 09:38</t>
        </is>
      </c>
    </row>
    <row r="6">
      <c r="A6" s="2" t="inlineStr">
        <is>
          <t>🟢</t>
        </is>
      </c>
      <c r="B6" s="3" t="str">
        <f>HYPERLINK("https://compensar-smartit.onbmc.com/smartit/app/#/workorder/AGGGSWY0I24JCAT8IJOZT8IJOZRLNH","WO0000000308197")</f>
        <v>WO0000000308197</v>
      </c>
      <c r="C6" s="2" t="inlineStr">
        <is>
          <t>No</t>
        </is>
      </c>
      <c r="D6" s="2" t="inlineStr">
        <is>
          <t>Asesoría, Acompañamiento, Actividades en Sitio y Entrega de Informes</t>
        </is>
      </c>
      <c r="E6" s="2" t="inlineStr">
        <is>
          <t>Pendiente</t>
        </is>
      </c>
      <c r="F6" s="2" t="inlineStr">
        <is>
          <t>Ubicación para atención del Servicio: SUBA INTEGRAL TORRE A PISO 1 CIRCULACION
Número de contacto para la atención del servicio: 3102944825
Frente: CORPORATIVO
Titulo: Maniobra de desconexión suba Integral
Descripción: Maniobra de conexión:
Se realizará el domingo 26 de julio, de 8:00 p.m. a 4;00 a.m., contemplando las siguientes actividades:
•	Des energización total del sistema.
•	Intervención eléctrica.
•	Conexión de acometidas.
•	Interconexión del sistema solar.
•	Ajustes, validaciones y pruebas operativas.
Con base a esto, se requiere apoyo del disponible de soporte al puesto de trabajo para realizar las pruebas en la sede una vez culmine la conexión del fluido eléctrico revisar que todos los servicios se encuentren disponibles.
Tipo de Servicio: ACOMPAÑAMIENTO / EJECUCION DE ACTIVIDAD EN SITIO
Grupo Requerido: ZONA NOROCCIDENTE
Fecha requerida para la actividad: 2026-07-26
Duración de la actividad en minutos: 60
Adjunto: [AGGIBMZTENYZ6AT8IJO9T8IJO93BM5]
</t>
        </is>
      </c>
      <c r="G6" s="2" t="inlineStr">
        <is>
          <t>SERVICIOS DE TECNOLOGIA-ASESORIA/ACOMPANAMIENTO/ACTIVIDADES-ACOMPAÑAMIENTO / EJECUCION DE ACTIVIDAD EN SITIO</t>
        </is>
      </c>
      <c r="H6" s="2" t="inlineStr">
        <is>
          <t>Web</t>
        </is>
      </c>
      <c r="I6" s="2" t="inlineStr">
        <is>
          <t>Baja</t>
        </is>
      </c>
      <c r="J6" s="5">
        <v>46218.53680555556</v>
      </c>
      <c r="K6" s="2" t="inlineStr">
        <is>
          <t>DANIEL ALEJANDRO BORDA MESTIZO</t>
        </is>
      </c>
      <c r="L6" s="2" t="inlineStr">
        <is>
          <t>ZONA NOROCCIDENTE</t>
        </is>
      </c>
      <c r="M6" s="2" t="inlineStr">
        <is>
          <t>SERVICIOS DE TI</t>
        </is>
      </c>
      <c r="N6" s="2"/>
      <c r="O6" s="2" t="inlineStr">
        <is>
          <t>CORPORATIVO</t>
        </is>
      </c>
      <c r="P6" s="2"/>
      <c r="Q6" s="2" t="inlineStr">
        <is>
          <t>AGGGSWY0I24JCAT8IJOZT8IJOZRLNH</t>
        </is>
      </c>
      <c r="R6" s="2" t="inlineStr">
        <is>
          <t>b) 5-10</t>
        </is>
      </c>
      <c r="S6" s="4">
        <v>46230.75</v>
      </c>
      <c r="T6" s="2" t="inlineStr">
        <is>
          <t>CAJA DE COMPENSACION</t>
        </is>
      </c>
      <c r="U6" s="2" t="inlineStr">
        <is>
          <t>-</t>
        </is>
      </c>
      <c r="V6" s="2" t="inlineStr">
        <is>
          <t>24/07/2026 10:19</t>
        </is>
      </c>
    </row>
    <row r="7">
      <c r="A7" s="2" t="inlineStr">
        <is>
          <t>🟢</t>
        </is>
      </c>
      <c r="B7" s="3" t="str">
        <f>HYPERLINK("https://compensar-smartit.onbmc.com/smartit/app/#/workorder/AGGIBMZTENYZ6AT8I7QFT8I7QFM7O4","WO0000000308443")</f>
        <v>WO0000000308443</v>
      </c>
      <c r="C7" s="2" t="inlineStr">
        <is>
          <t>No</t>
        </is>
      </c>
      <c r="D7" s="2" t="inlineStr">
        <is>
          <t>Asesoría, Acompañamiento, Actividades en Sitio y Entrega de Informes</t>
        </is>
      </c>
      <c r="E7" s="2" t="inlineStr">
        <is>
          <t>Pendiente</t>
        </is>
      </c>
      <c r="F7" s="2" t="inlineStr">
        <is>
          <t>Ubicación para atención del Servicio: CRA 69 B TORRE B PISO 4 SALA SIN ASIGNAR
Número de contacto para la atención del servicio: 3107940266
Frente: SALUD
Titulo: Acompañamiento en apoyo permiso administrador
Descripción: Se necesita el acompañamiento el día 24 de julio 2-3 pm. en la instalación de aplicación masiva de ROCHE a colaboradores del proceso de laboratorio clínico.
Es necesario que quien acompañe tenga permisos de administrador, agradecemos por favor se asigne al ingeniero: IVAN FELIPE GARCIA MANRIQUE.
Se comparte link de sesión:  https://teams.microsoft.com/meet/21820047572150?p=N5I2U3YozE5tewPvmv
Tipo de Servicio: EJECUCION DE ACTIVIDADES EN SITIO
Subcategoría: EJECUCION DE ACTIVIDADES
Grupo Requerido: SPT CABECERA CARRERA 69
Fecha requerida para la actividad: 2026-07-24
Duración de la actividad en minutos: 2
Adjunto: [AGGGSWY0I24JCAT8I7N3T8I7N3CE4R]
</t>
        </is>
      </c>
      <c r="G7" s="2" t="inlineStr">
        <is>
          <t>SERVICIOS DE TECNOLOGIA-ACOMPANAMIENTO-EJECUCION DE ACTIVIDADES EN SITIO</t>
        </is>
      </c>
      <c r="H7" s="2" t="inlineStr">
        <is>
          <t>Web</t>
        </is>
      </c>
      <c r="I7" s="2" t="inlineStr">
        <is>
          <t>Baja</t>
        </is>
      </c>
      <c r="J7" s="5">
        <v>46218.65694444445</v>
      </c>
      <c r="K7" s="2" t="inlineStr">
        <is>
          <t>IVAN FELIPE GARCIA MANRIQUE</t>
        </is>
      </c>
      <c r="L7" s="2" t="inlineStr">
        <is>
          <t>SPT CABECERA CARRERA 69</t>
        </is>
      </c>
      <c r="M7" s="2" t="inlineStr">
        <is>
          <t>SERVICIOS DE TI</t>
        </is>
      </c>
      <c r="N7" s="2"/>
      <c r="O7" s="2" t="inlineStr">
        <is>
          <t>SALUD</t>
        </is>
      </c>
      <c r="P7" s="2"/>
      <c r="Q7" s="2" t="inlineStr">
        <is>
          <t>AGGIBMZTENYZ6AT8I7QFT8I7QFM7O4</t>
        </is>
      </c>
      <c r="R7" s="2" t="inlineStr">
        <is>
          <t>b) 5-10</t>
        </is>
      </c>
      <c r="S7" s="4">
        <v>46227.708333333336</v>
      </c>
      <c r="T7" s="2" t="inlineStr">
        <is>
          <t>SALUD</t>
        </is>
      </c>
      <c r="U7" s="2" t="inlineStr">
        <is>
          <t>-</t>
        </is>
      </c>
      <c r="V7" s="2" t="inlineStr">
        <is>
          <t>28/07/2026 13:47</t>
        </is>
      </c>
    </row>
    <row r="8">
      <c r="A8" s="2" t="inlineStr">
        <is>
          <t>🟢</t>
        </is>
      </c>
      <c r="B8" s="3" t="str">
        <f>HYPERLINK("https://compensar-smartit.onbmc.com/smartit/app/#/workorder/AGGGSWY0I24JCAT8JYMBT8JYMBEQG0","WO0000000308723")</f>
        <v>WO0000000308723</v>
      </c>
      <c r="C8" s="2" t="inlineStr">
        <is>
          <t>No</t>
        </is>
      </c>
      <c r="D8" s="2" t="inlineStr">
        <is>
          <t>Asesoría, Acompañamiento, Actividades en Sitio y Entrega de Informes</t>
        </is>
      </c>
      <c r="E8" s="2" t="inlineStr">
        <is>
          <t>Pendiente</t>
        </is>
      </c>
      <c r="F8" s="2" t="inlineStr">
        <is>
          <t>Ubicación para atención del Servicio: SUBA INTEGRAL TORRE A PISO 1 MODULOS AUTOSERVICIO
Número de contacto para la atención del servicio: 13925
Frente: CORPORATIVO
Titulo: CRQ000000020128 - SESIONES TEAMS 21 AL 29 JULIO 10PM- PRUEBAS SERVICIOS POR AJUSTES MEJORAS SDWAN SUBA, CSDE, CLL220, CRA60, LAGOMAR, LAGOSOL
Descripción: Cordial Saludo Ingenieros Jairo, Gerson e Ingenieros Sonda
Informamos que los días martes 21, miércoles 22, jueves 23, lunes 27, martes 28, y miércoles 29 de julio desde las 10:00pm bajo el cambio CRQ000000020128 por parte del proveedor CLARO se realizara ajustes en el servicio SDWAN de sedes de SUBA INTEGRAL, SEDE EMPRESARIAL CSDE, CALLE 220, CARRERA60, LAGOMAR, LAGOSOL para mejorar la disponibilidad y balanceo del tráfico, por lo cual agradecemos su ayuda en apoyarnos en programar los recursos de Seguridad Electrónica, Plataforma TI, Soporte en sitio o remoto de Sonda y soporte Telefonía para probar los servicios o elementos de configuración que ustedes tenga a cargo bajo su administración en estas sedes, la idea es que el recurso de Sonda, Plataforma TI, Seguridad Electrónica y telefonía que ustedes puedan asignar pueda ingresar a la sesión de TEAMS y pueda ir revisando los servicios que ustedes administran una vez que el proveedor CLARO haya ejecutado la mejora en el SDWAN: Estas pruebas están aprobadas por el cambio solicitado por el ingeniero Mauricio Patalagua # CRQ000000020128
1.	El recurso de Sonda se requiere en sitio o de manera remota en las sesiones de TEAMS y que pueda estar conectado a la red Wifi Corporativa o por red cableada a algún PC de la sede, el recurso se requiere para las pruebas en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en donde deberá realizar pruebas de accesos a las diferentes aplicaciones que usan los usuarios como Office, TEAMS, Intranet, Portico, Onbase, sisfam, Andrómeda, digiturno, SAP, CRM, Kactus, entre otros.
2.	El recurso de Plataforma TI se requiere en las sesiones de TEAMS para revisar el estado de sus servicios que tienen en las Sedes como por ejemplo controladores de Dominio, servicios DHCP, entre otros. el recurso se requiere para las pruebas de servicios en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3.	El recurso de Seguridad electrónica se requiere en las sesiónes de TEAMS para revisar el estado de sus servicios que tienen en las sedes como por ejemplo Camaras de Seguridad, DRV ente otras, el recurso se requiere para las pruebas de servicios en las sedes de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4.	El recurso de Telefonia se requiere en las sesiones de TEAMS para revisar el estado de sus servicios que tienen en sede CALLE 94 como por ejemplo telefonía IP, entre otros, el recurso se requiere para probar los servicios en las sedes de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Las actividades de mejora de SD-WAN de CLARO se harán en las siguientes fechas:
21/07/2026 10pm – FW1_COMPENSAR_CLL139_CMP0620 SUBA
22/07/2026 10pm – FW-SEDE_EMPRESARIAL_CMP0032
23/07/2026 10pm – FW1-COMPENSAR-CMP0027-CALLE220
27/07/2026 10pm – FW-COMPENSAR-BOG-CRA60
28/07/2026 10pm – FW-COMPENSAR-LAGOMAR-PP
29/07/2026 10pm – FW-COMPENSAR-LAGOSOL
El enlace de las sesiónes de TEAMS programadas por el proveedor CLARO desde el 21 de julio hasta el 29 de julio es el siguiente agradecemos su asistencia a todos los equipos de Compensar y CLARO a estas sesiones de TEAMS desde las 10pm:
https://teams.microsoft.com/l/meetup-join/19%3ameeting_M2U5YTI1OTgtM2E4Ni00YWJiLWE4NjMtYWEyMjlmMDExYjQy%40thread.v2/0?context=%7b%22Tid%22%3a%2246bb22b8-4c2c-40ff-8360-7b6334821279%22%2c%22Oid%22%3a%22a96058e2-f5a2-4074-bb38-43d9ebe2be12%22%7d
Tipo de Servicio: ACOMPAÑAMIENTO / EJECUCION DE ACTIVIDAD EN SITIO
Grupo Requerido: ZONA NORTE
Fecha requerida para la actividad: 2026-07-21
Duración de la actividad en minutos: 180
Adjunto: [AGGGSWY0I24JCAT8JYL1T8JYL1EPAE]
</t>
        </is>
      </c>
      <c r="G8" s="2" t="inlineStr">
        <is>
          <t>SERVICIOS DE TECNOLOGIA-ASESORIA/ACOMPANAMIENTO/ACTIVIDADES-ACOMPAÑAMIENTO / EJECUCION DE ACTIVIDAD EN SITIO</t>
        </is>
      </c>
      <c r="H8" s="2" t="inlineStr">
        <is>
          <t>Web</t>
        </is>
      </c>
      <c r="I8" s="2" t="inlineStr">
        <is>
          <t>Baja</t>
        </is>
      </c>
      <c r="J8" s="5">
        <v>46219.450694444444</v>
      </c>
      <c r="K8" s="2" t="inlineStr">
        <is>
          <t>DANIEL ALEJANDRO BORDA MESTIZO</t>
        </is>
      </c>
      <c r="L8" s="2" t="inlineStr">
        <is>
          <t>ZONA CENTRO</t>
        </is>
      </c>
      <c r="M8" s="2" t="inlineStr">
        <is>
          <t>SERVICIOS DE TI</t>
        </is>
      </c>
      <c r="N8" s="2"/>
      <c r="O8" s="2" t="inlineStr">
        <is>
          <t>CORPORATIVO</t>
        </is>
      </c>
      <c r="P8" s="2"/>
      <c r="Q8" s="2" t="inlineStr">
        <is>
          <t>AGGGSWY0I24JCAT8JYMBT8JYMBEQG0</t>
        </is>
      </c>
      <c r="R8" s="2" t="inlineStr">
        <is>
          <t>b) 5-10</t>
        </is>
      </c>
      <c r="S8" s="4">
        <v>46233.708333333336</v>
      </c>
      <c r="T8" s="2"/>
      <c r="U8" s="2" t="inlineStr">
        <is>
          <t>-</t>
        </is>
      </c>
      <c r="V8" s="2" t="inlineStr">
        <is>
          <t>24/07/2026 10:31</t>
        </is>
      </c>
    </row>
    <row r="9">
      <c r="A9" s="2" t="inlineStr">
        <is>
          <t>🟢</t>
        </is>
      </c>
      <c r="B9" s="3" t="str">
        <f>HYPERLINK("https://compensar-smartit.onbmc.com/smartit/app/#/workorder/IDGGSWY0I24JCAT81M9DT81M9D1V06","WO0000000309139")</f>
        <v>WO0000000309139</v>
      </c>
      <c r="C9" s="2" t="inlineStr">
        <is>
          <t>No</t>
        </is>
      </c>
      <c r="D9" s="2" t="inlineStr">
        <is>
          <t>Continuación caso: ID de petición 665754</t>
        </is>
      </c>
      <c r="E9" s="2" t="inlineStr">
        <is>
          <t>En curso</t>
        </is>
      </c>
      <c r="F9" s="2" t="inlineStr">
        <is>
          <t>Usuaria: Doris Patricia Perez Jaimes
Informa: ""Solicitamos la instalación de VPN pero estaba en vacaciones y me llamaron pero no pude atender la llamada. Me dicen que ya tengo usuario para conectarme pero no tengo la aplicación.""
Ubicación: Movilidad
Tiempo: 8am
Impacto: 1Usuario
Evidencias: No aplica</t>
        </is>
      </c>
      <c r="G9" s="2" t="inlineStr">
        <is>
          <t>SERVICIOS DE TECNOLOGIA-GESTION DE APLICACIONES-INSTALAR DESINSTALAR APLICACION</t>
        </is>
      </c>
      <c r="H9" s="2" t="inlineStr">
        <is>
          <t>Chat</t>
        </is>
      </c>
      <c r="I9" s="2" t="inlineStr">
        <is>
          <t>Baja</t>
        </is>
      </c>
      <c r="J9" s="5">
        <v>46220.353472222225</v>
      </c>
      <c r="K9" s="2" t="inlineStr">
        <is>
          <t>NICK STEVE TRIANA LOPEZ</t>
        </is>
      </c>
      <c r="L9" s="2" t="inlineStr">
        <is>
          <t>ZONA OCCIDENTE</t>
        </is>
      </c>
      <c r="M9" s="2" t="inlineStr">
        <is>
          <t>SERVICIOS DE TI</t>
        </is>
      </c>
      <c r="N9" s="2"/>
      <c r="O9" s="2" t="inlineStr">
        <is>
          <t>SALUD</t>
        </is>
      </c>
      <c r="P9" s="2"/>
      <c r="Q9" s="2" t="inlineStr">
        <is>
          <t>IDGGSWY0I24JCAT81M9DT81M9D1V06</t>
        </is>
      </c>
      <c r="R9" s="2" t="inlineStr">
        <is>
          <t>b) 5-10</t>
        </is>
      </c>
      <c r="S9" s="4"/>
      <c r="T9" s="2"/>
      <c r="U9" s="2" t="inlineStr">
        <is>
          <t>-</t>
        </is>
      </c>
      <c r="V9" s="2" t="inlineStr">
        <is>
          <t>27/07/2026 16:47</t>
        </is>
      </c>
    </row>
    <row r="10">
      <c r="A10" s="2" t="inlineStr">
        <is>
          <t>🟢</t>
        </is>
      </c>
      <c r="B10" s="3" t="str">
        <f>HYPERLINK("https://compensar-smartit.onbmc.com/smartit/app/#/workorder/AGGCEWKCE5ONWAT89KZ6T89KZ6TPZB","WO0000000309315")</f>
        <v>WO0000000309315</v>
      </c>
      <c r="C10" s="2" t="inlineStr">
        <is>
          <t>No</t>
        </is>
      </c>
      <c r="D10" s="2" t="inlineStr">
        <is>
          <t>PERMISOS GENERALES</t>
        </is>
      </c>
      <c r="E10" s="2" t="inlineStr">
        <is>
          <t>Asignado</t>
        </is>
      </c>
      <c r="F10" s="2" t="inlineStr">
        <is>
          <t>Extensión: 3108668337
Ubicación: TELETRABAJO ESCRITORIO VIRTUAL
Frente: CENTRO DE SERVICIOS COMPARTIDOS
Tipo de Servicio: EQUIPO EXTERNO RED COMPENSAR
Descripción: Solicitamos el escaneo de vulnerabilidades para ingreso del usuario Juan Sebastian Jaramillo quien ingresa del proveedor de pruebas Green SQA. contactar a 3108668337
Titulo: Escaneo de vulnerabilidades PC Juan Sebastian Jaramillo
Tipo de Servicio: EQUIPO EXTERNO RED COMPENSAR</t>
        </is>
      </c>
      <c r="G10" s="2" t="inlineStr">
        <is>
          <t>SERVICIOS DE TECNOLOGIA-SEGURIDAD DE LA INFORMACION-EQUIPO EXTERNO RED COMPENSAR</t>
        </is>
      </c>
      <c r="H10" s="2" t="inlineStr">
        <is>
          <t>Web</t>
        </is>
      </c>
      <c r="I10" s="2" t="inlineStr">
        <is>
          <t>Alta</t>
        </is>
      </c>
      <c r="J10" s="5">
        <v>46224.645833333336</v>
      </c>
      <c r="K10" s="2" t="inlineStr">
        <is>
          <t>ANDERSON JULIAN RATIVA RAMIREZ</t>
        </is>
      </c>
      <c r="L10" s="2" t="inlineStr">
        <is>
          <t>ZONA CENTRO</t>
        </is>
      </c>
      <c r="M10" s="2" t="inlineStr">
        <is>
          <t>SERVICIOS DE TI</t>
        </is>
      </c>
      <c r="N10" s="2"/>
      <c r="O10" s="2" t="inlineStr">
        <is>
          <t>CENTRO DE SERVICIOS COMPARTIDOS</t>
        </is>
      </c>
      <c r="P10" s="2"/>
      <c r="Q10" s="2" t="inlineStr">
        <is>
          <t>AGGCEWKCE5ONWAT89KZ6T89KZ6TPZB</t>
        </is>
      </c>
      <c r="R10" s="2" t="inlineStr">
        <is>
          <t>a) 0-4</t>
        </is>
      </c>
      <c r="S10" s="4"/>
      <c r="T10" s="2" t="inlineStr">
        <is>
          <t>CAJA DE COMPENSACION</t>
        </is>
      </c>
      <c r="U10" s="2" t="inlineStr">
        <is>
          <t>-</t>
        </is>
      </c>
      <c r="V10" s="2" t="inlineStr">
        <is>
          <t>28/07/2026 10:30</t>
        </is>
      </c>
    </row>
    <row r="11">
      <c r="A11" s="2" t="inlineStr">
        <is>
          <t>🟢</t>
        </is>
      </c>
      <c r="B11" s="3" t="str">
        <f>HYPERLINK("https://compensar-smartit.onbmc.com/smartit/app/#/workorder/AGGCEWKCE5ONWAT8LC48T8LC48WW9Y","WO0000000309318")</f>
        <v>WO0000000309318</v>
      </c>
      <c r="C11" s="2" t="inlineStr">
        <is>
          <t>No</t>
        </is>
      </c>
      <c r="D11" s="2" t="inlineStr">
        <is>
          <t>Seguridad Informática - Servicios VPN Salud</t>
        </is>
      </c>
      <c r="E11" s="2" t="inlineStr">
        <is>
          <t>Pendiente</t>
        </is>
      </c>
      <c r="F11" s="2" t="inlineStr">
        <is>
          <t>Ubicación para atención del Servicio:CRA 69 B TORRE B PISO 4 AUXILIAR PLANEACION Y SALUD
Teléfono:3214617714
Frente:SALUD
Título:VPN REMOTO
Tipo de Servicio:PERMISOS VPN REMOTA
Descripción:ESPECIALISTA  EN PLANEACION ESTRATEGICA	
SEBASTIAN BUITRAGO AVENDAÑO	Paquete :                Microsoft oficce 365
SEBASTIAN BUITRAGO AVENDAÑO	Power BI Desktop
SEBASTIAN BUITRAGO AVENDAÑO	Python
SEBASTIAN BUITRAGO AVENDAÑO	Visual Studio Code
SEBASTIAN BUITRAGO AVENDAÑO	Teams
Adjunto:[AGGGSWY0I24JCAT8IGIWT8IGIWLYPP, AGGGSWY0I24JCAT8IGIWT8IGIWLYQ8, AGGGSWY0I24JCAT8IGIWT8IGIWLYQW]
Categoria Operacional 1:SERVICIOS DE TECNOLOGIA
Categoria Operacional 2:SEGURIDAD INFORMATICA
Organizacion del grupo:OPERACIONES E INFRAESTRUCTURA
Grupo:PLATAFORMA TI SALUD
</t>
        </is>
      </c>
      <c r="G11" s="2" t="inlineStr">
        <is>
          <t>SERVICIOS DE TECNOLOGIA-ACOMPANAMIENTO-EJECUCION DE ACTIVIDADES EN SITIO</t>
        </is>
      </c>
      <c r="H11" s="2" t="inlineStr">
        <is>
          <t>Web</t>
        </is>
      </c>
      <c r="I11" s="2" t="inlineStr">
        <is>
          <t>Baja</t>
        </is>
      </c>
      <c r="J11" s="5">
        <v>46225.447222222225</v>
      </c>
      <c r="K11" s="2" t="inlineStr">
        <is>
          <t>JUAN CAMILO RINCON BLANCO</t>
        </is>
      </c>
      <c r="L11" s="2" t="inlineStr">
        <is>
          <t>SPT CABECERA CARRERA 69</t>
        </is>
      </c>
      <c r="M11" s="2" t="inlineStr">
        <is>
          <t>SERVICIOS DE TI</t>
        </is>
      </c>
      <c r="N11" s="2"/>
      <c r="O11" s="2" t="inlineStr">
        <is>
          <t>SALUD</t>
        </is>
      </c>
      <c r="P11" s="2"/>
      <c r="Q11" s="2" t="inlineStr">
        <is>
          <t>AGGCEWKCE5ONWAT8LC48T8LC48WW9Y</t>
        </is>
      </c>
      <c r="R11" s="2" t="inlineStr">
        <is>
          <t>a) 0-4</t>
        </is>
      </c>
      <c r="S11" s="4">
        <v>46230.708333333336</v>
      </c>
      <c r="T11" s="2" t="inlineStr">
        <is>
          <t>SALUD</t>
        </is>
      </c>
      <c r="U11" s="2" t="inlineStr">
        <is>
          <t>-</t>
        </is>
      </c>
      <c r="V11" s="2" t="inlineStr">
        <is>
          <t>28/07/2026 16:59</t>
        </is>
      </c>
    </row>
    <row r="12">
      <c r="A12" s="2" t="inlineStr">
        <is>
          <t>🟢</t>
        </is>
      </c>
      <c r="B12" s="3" t="str">
        <f>HYPERLINK("https://compensar-smartit.onbmc.com/smartit/app/#/workorder/AGGGSWY0I24JCAT81TIYT81TIYMTRB","WO0000000309411")</f>
        <v>WO0000000309411</v>
      </c>
      <c r="C12" s="2" t="inlineStr">
        <is>
          <t>No</t>
        </is>
      </c>
      <c r="D12" s="2" t="inlineStr">
        <is>
          <t>Aplicación de Usuario Final</t>
        </is>
      </c>
      <c r="E12" s="2" t="inlineStr">
        <is>
          <t>Pendiente</t>
        </is>
      </c>
      <c r="F12" s="2" t="inlineStr">
        <is>
          <t>Ubicación para atención del Servicio: CSDE TORRE B PISO 4 GERENCIA RIESGO CORPORATIVO
Número de contacto para la atención del servicio: 1234
Frente: CLIENTES
Titulo: Evento de Seguridad (Successful Login After Brute Force) EV02529-M07-A26 Usuario lamespinosac
Descripción: Cordial saludo,
Su apoyo solicitando realizar el cambio inmediato y forzado de contraseña de la cuenta corporativa lamespinosac@compensar.com, así como el cierre de todas las sesiones activas, debido a un evento de seguridad tipo Successful Login After Brute Force detectado en la plataforma.
Se registró un alto volumen de autenticaciones fallidas desde múltiples direcciones IP y países distintos (Estados Unidos, Francia, España, Brasil, Canadá, Marruecos, Noruega, Suecia, India, Corea del Sur, Países Bajos, Alemania, Suiza, entre otros), patrón característico de un ataque de fuerza bruta.
- Agradecemos contactar a la usuario, apoyarla con la desvinculación de contraseñas almacenadas en navegadores restauración del mismo puede ser uno de los factores del comportamiento - EQUIPO y CELULAR.
- Apoyo para configurar la aplicación Microsoft de autenticación MFA sea la predeterminadamente
- Cierre de todas las sesiones en todos los dispositivos que vinculen la cuenta corporativa.
Credenciales almacenadas o desactualizadas
Eliminar credenciales antiguas desde el Administrador de credenciales de Windows.
Cerrar sesión y volver a iniciar sesión en Outlook, Teams, OneDrive y Office.
Forzar una nueva autenticación de Microsoft 365.
Verificar que la contraseña guardada en aplicaciones móviles sea la correcta.
Navegador
Cerrar todas las sesiones de Microsoft 365.
Borrar cookies y caché.
Eliminar sesiones persistentes de Office 365.
Probar autenticación desde navegador InPrivate/Incógnito.
Dispositivos móviles
Revisar Outlook Mobile.
Revisar cliente de correo nativo Android/iPhone.
Eliminar y volver a agregar la cuenta corporativa.
Revisar tablets o dispositivos antiguos que puedan estar intentando autenticar con una contraseña obsoleta.
Su apoyo con cada una de las validaciones debido a que el comportamiento es recurrente. Gracias
Tipo de Servicio: PARAMETRIZAR Y O CONFIGURAR APLICACION
Aplicación: INTERNET
</t>
        </is>
      </c>
      <c r="G12" s="2" t="inlineStr">
        <is>
          <t>SERVICIOS DE TECNOLOGIA-GESTION DE APLICACIONES-PARAMETRIZAR Y O CONFIGURAR APLICACION</t>
        </is>
      </c>
      <c r="H12" s="2" t="inlineStr">
        <is>
          <t>Web</t>
        </is>
      </c>
      <c r="I12" s="2" t="inlineStr">
        <is>
          <t>Baja</t>
        </is>
      </c>
      <c r="J12" s="5">
        <v>46220.45</v>
      </c>
      <c r="K12" s="2" t="inlineStr">
        <is>
          <t>ANDERSON JULIAN RATIVA RAMIREZ</t>
        </is>
      </c>
      <c r="L12" s="2" t="inlineStr">
        <is>
          <t>ZONA CENTRO</t>
        </is>
      </c>
      <c r="M12" s="2" t="inlineStr">
        <is>
          <t>SERVICIOS DE TI</t>
        </is>
      </c>
      <c r="N12" s="2"/>
      <c r="O12" s="2" t="inlineStr">
        <is>
          <t>CLIENTES</t>
        </is>
      </c>
      <c r="P12" s="2"/>
      <c r="Q12" s="2" t="inlineStr">
        <is>
          <t>AGGGSWY0I24JCAT81TIYT81TIYMTRB</t>
        </is>
      </c>
      <c r="R12" s="2" t="inlineStr">
        <is>
          <t>b) 5-10</t>
        </is>
      </c>
      <c r="S12" s="4">
        <v>46230.75</v>
      </c>
      <c r="T12" s="2" t="inlineStr">
        <is>
          <t>CAJA DE COMPENSACION</t>
        </is>
      </c>
      <c r="U12" s="2" t="inlineStr">
        <is>
          <t>-</t>
        </is>
      </c>
      <c r="V12" s="2" t="inlineStr">
        <is>
          <t>24/07/2026 15:25</t>
        </is>
      </c>
    </row>
    <row r="13">
      <c r="A13" s="2" t="inlineStr">
        <is>
          <t>🟠</t>
        </is>
      </c>
      <c r="B13" s="3" t="str">
        <f>HYPERLINK("https://compensar-smartit.onbmc.com/smartit/app/#/workorder/IDGGSWY0I24JCAT858UMT858UMG87B","WO0000000309834")</f>
        <v>WO0000000309834</v>
      </c>
      <c r="C13" s="2" t="inlineStr">
        <is>
          <t>No</t>
        </is>
      </c>
      <c r="D13" s="2" t="inlineStr">
        <is>
          <t>Apoyo configuración aplicativo looking body</t>
        </is>
      </c>
      <c r="E13" s="2" t="inlineStr">
        <is>
          <t>En curso</t>
        </is>
      </c>
      <c r="F13" s="2" t="inlineStr">
        <is>
          <t>Usuario: CC  1013630195 PAULA LORENA COBO LEMUS.
Informa: Solicita apoyo para configuración de aplicativo, looking body, para el cargue de base de datos y para que permita descargar resultados.
Ubicación: Chía piso 3 al lado de ascensor.
Tiempo: 10:44 a. m. 19/07/2026.
Impacto: C174612.
Evidencias: NA.</t>
        </is>
      </c>
      <c r="G13" s="2" t="inlineStr">
        <is>
          <t>SERVICIOS DE TECNOLOGIA-APLICACIONES DE NEGOCIO-PARAMETRIZACION APP</t>
        </is>
      </c>
      <c r="H13" s="2" t="inlineStr">
        <is>
          <t>Telefono</t>
        </is>
      </c>
      <c r="I13" s="2" t="inlineStr">
        <is>
          <t>Baja</t>
        </is>
      </c>
      <c r="J13" s="5">
        <v>46222.464583333334</v>
      </c>
      <c r="K13" s="2" t="inlineStr">
        <is>
          <t>MIGUEL JOSE NUÑEZ MARQUEZ</t>
        </is>
      </c>
      <c r="L13" s="2" t="inlineStr">
        <is>
          <t>ZONA CENTRO</t>
        </is>
      </c>
      <c r="M13" s="2" t="inlineStr">
        <is>
          <t>SERVICIOS DE TI</t>
        </is>
      </c>
      <c r="N13" s="2" t="inlineStr">
        <is>
          <t>C174612</t>
        </is>
      </c>
      <c r="O13" s="2" t="inlineStr">
        <is>
          <t>BIENESTAR Y DESARROLLO SOCIAL</t>
        </is>
      </c>
      <c r="P13" s="2"/>
      <c r="Q13" s="2" t="inlineStr">
        <is>
          <t>IDGGSWY0I24JCAT858UMT858UMG87B</t>
        </is>
      </c>
      <c r="R13" s="2" t="inlineStr">
        <is>
          <t>a) 0-4</t>
        </is>
      </c>
      <c r="S13" s="4"/>
      <c r="T13" s="2"/>
      <c r="U13" s="2" t="inlineStr">
        <is>
          <t>-</t>
        </is>
      </c>
      <c r="V13" s="2" t="inlineStr">
        <is>
          <t>27/07/2026 12:00</t>
        </is>
      </c>
    </row>
    <row r="14">
      <c r="A14" s="2" t="inlineStr">
        <is>
          <t>🟢</t>
        </is>
      </c>
      <c r="B14" s="3" t="str">
        <f>HYPERLINK("https://compensar-smartit.onbmc.com/smartit/app/#/workorder/IDGIBMZTENYZ6AT898N3T898N3LBIE","WO0000000310343")</f>
        <v>WO0000000310343</v>
      </c>
      <c r="C14" s="2" t="inlineStr">
        <is>
          <t>No</t>
        </is>
      </c>
      <c r="D14" s="2" t="inlineStr">
        <is>
          <t>Alerta CrowdStrike: XDR Indicador de compromiso</t>
        </is>
      </c>
      <c r="E14" s="2" t="inlineStr">
        <is>
          <t>Pendiente</t>
        </is>
      </c>
      <c r="F14" s="2" t="inlineStr">
        <is>
          <t>Cordial saludo,
Se recibe alerta de CrowdStrike XDR Indicator of Compromise (IOC). La detección fue activada porque el proceso DeskRest.exe estableció o intentó establecer comunicación con una dirección IP asociada a un Custom Intelligence Indicator (Custom IOC) configurado en CrowdStrike. El IOC identificado corresponde a la IP 3.33.130.190 la cual tiene reportes como maliciosa
Usuario: CEDELRIOF 
Host: P008122  
IP: 10.80.240.5
Path: C:\Users\CEDELRIOF\AppData\Local\Programs\DeskRest\DeskRest.exe  
  Agradezco su apoyo generando un requerimiento a puesto de trabajo realizando las siguientes validaciones  
•	Validar que las Bases de datos del antivirus se encuentren actualizadas y que el antivirus se encuentre activo, validar agente, si es necesario reinstalar.  
•	Realizar análisis a profundidad de todas las unidades del disco duro con el antivirus.  
•	Validar archivos reportados con el antivirus, confirmando con el usuario si es posible su eliminación y en caso contrario compartir justificación.  
•	Eliminar el programa DeskRest.exe
•	Validar que las políticas de dominio se encuentren al día.  
•	Borrar todo lo relacionados a inicios de sesión en navegadores.  
•	Validar complementos y extensiones de los navegadores.  
•	Eliminar temporales y cache.  
•	Validar que las actualizaciones del Sistema Operativo y suit de office estén al día.  
•	Validar programas o servicios sospechosos o que no deberían estar en ejecución, por ejemplo, terminales en CMD que esté en ejecución pero que el usuario no la haya ejecutado, tomar evidencia.  
Adjuntar en la solicitud, capturas de pantalla donde se observe el resultado de cada una de las validaciones y garantizando que el equipo no presenta amenazas. En caso contrario se solicitará la re-apertura del caso.  
Gracias</t>
        </is>
      </c>
      <c r="G14" s="2" t="inlineStr">
        <is>
          <t>SERVICIOS DE TECNOLOGIA-SOPORTE EQUIPOS DE COMPUTO-ACOMPANAMIENTO</t>
        </is>
      </c>
      <c r="H14" s="2" t="inlineStr">
        <is>
          <t>Web</t>
        </is>
      </c>
      <c r="I14" s="2" t="inlineStr">
        <is>
          <t>Baja</t>
        </is>
      </c>
      <c r="J14" s="5">
        <v>46224.61597222222</v>
      </c>
      <c r="K14" s="2" t="inlineStr">
        <is>
          <t>JUAN CAMILO RINCON BLANCO</t>
        </is>
      </c>
      <c r="L14" s="2" t="inlineStr">
        <is>
          <t>SPT ZONA CENTRO</t>
        </is>
      </c>
      <c r="M14" s="2" t="inlineStr">
        <is>
          <t>SERVICIOS DE TI</t>
        </is>
      </c>
      <c r="N14" s="2"/>
      <c r="O14" s="2" t="inlineStr">
        <is>
          <t>SALUD</t>
        </is>
      </c>
      <c r="P14" s="2"/>
      <c r="Q14" s="2" t="inlineStr">
        <is>
          <t>IDGIBMZTENYZ6AT898N3T898N3LBIE</t>
        </is>
      </c>
      <c r="R14" s="2" t="inlineStr">
        <is>
          <t>a) 0-4</t>
        </is>
      </c>
      <c r="S14" s="4">
        <v>46234.75</v>
      </c>
      <c r="T14" s="2"/>
      <c r="U14" s="2" t="inlineStr">
        <is>
          <t>-</t>
        </is>
      </c>
      <c r="V14" s="2" t="inlineStr">
        <is>
          <t>27/07/2026 12:17</t>
        </is>
      </c>
    </row>
    <row r="15">
      <c r="A15" s="2" t="inlineStr">
        <is>
          <t>🟢</t>
        </is>
      </c>
      <c r="B15" s="3" t="str">
        <f>HYPERLINK("https://compensar-smartit.onbmc.com/smartit/app/#/workorder/AGGIBMZTENYZ6AT89L1PT89L1PPAZX","WO0000000310376")</f>
        <v>WO0000000310376</v>
      </c>
      <c r="C15" s="2" t="inlineStr">
        <is>
          <t>No</t>
        </is>
      </c>
      <c r="D15" s="2" t="inlineStr">
        <is>
          <t>Asesoría, Acompañamiento, Actividades en Sitio y Entrega de Informes</t>
        </is>
      </c>
      <c r="E15" s="2" t="inlineStr">
        <is>
          <t>Pendiente</t>
        </is>
      </c>
      <c r="F15" s="2" t="inlineStr">
        <is>
          <t>Ubicación para atención del Servicio: CSDE TORRE A PISO 2 AREA COMUN
Número de contacto para la atención del servicio: 3044305307
Frente: CORPORATIVO
Titulo: Validación equipo Hostname: CPSASUR Serial: 5CG01121SX
Descripción: Buen día:
Informamos desde seguridad informática que el día de hoy 21/07/2026 se vió instalado el sensor de falcon al equipo CPSASUR  con serial 5CG01121SX , sin embargo, minutos después se intentó eliminar utilizando métodos de fuerza bruta por el usuario "CSP", lo que generó 16 alarmas de criticidad alta.
Agradecemos confirmar el motivo del evento, confirmar quien usó el usuario "CSP" con privilegios de administrador y garantizar la instalación del sensor de falcon.
Gracias.
Tipo de Servicio: ACOMPAÑAMIENTO / EJECUCION DE ACTIVIDAD EN SITIO
Grupo Requerido: SPT ZONA CENTRO
Fecha requerida para la actividad: 2026-07-21
Duración de la actividad en minutos: 60
</t>
        </is>
      </c>
      <c r="G15" s="2" t="inlineStr">
        <is>
          <t>SERVICIOS DE TECNOLOGIA-ASESORIA/ACOMPANAMIENTO/ACTIVIDADES-ACOMPAÑAMIENTO / EJECUCION DE ACTIVIDAD EN SITIO</t>
        </is>
      </c>
      <c r="H15" s="2" t="inlineStr">
        <is>
          <t>Web</t>
        </is>
      </c>
      <c r="I15" s="2" t="inlineStr">
        <is>
          <t>Baja</t>
        </is>
      </c>
      <c r="J15" s="5">
        <v>46224.65138888889</v>
      </c>
      <c r="K15" s="2" t="inlineStr">
        <is>
          <t>ANDERSON JULIAN RATIVA RAMIREZ</t>
        </is>
      </c>
      <c r="L15" s="2" t="inlineStr">
        <is>
          <t>ZONA CENTRO</t>
        </is>
      </c>
      <c r="M15" s="2" t="inlineStr">
        <is>
          <t>SERVICIOS DE TI</t>
        </is>
      </c>
      <c r="N15" s="2"/>
      <c r="O15" s="2" t="inlineStr">
        <is>
          <t>CORPORATIVO</t>
        </is>
      </c>
      <c r="P15" s="2"/>
      <c r="Q15" s="2" t="inlineStr">
        <is>
          <t>AGGIBMZTENYZ6AT89L1PT89L1PPAZX</t>
        </is>
      </c>
      <c r="R15" s="2" t="inlineStr">
        <is>
          <t>a) 0-4</t>
        </is>
      </c>
      <c r="S15" s="4">
        <v>46230.75</v>
      </c>
      <c r="T15" s="2" t="inlineStr">
        <is>
          <t>CAJA DE COMPENSACION</t>
        </is>
      </c>
      <c r="U15" s="2" t="inlineStr">
        <is>
          <t>-</t>
        </is>
      </c>
      <c r="V15" s="2" t="inlineStr">
        <is>
          <t>-</t>
        </is>
      </c>
    </row>
    <row r="16">
      <c r="A16" s="2" t="inlineStr">
        <is>
          <t>🟢</t>
        </is>
      </c>
      <c r="B16" s="3" t="str">
        <f>HYPERLINK("https://compensar-smartit.onbmc.com/smartit/app/#/workorder/AGGGSWY0I24JCAT8KEVET8KEVE1Q4A","WO0000000310452")</f>
        <v>WO0000000310452</v>
      </c>
      <c r="C16" s="2" t="inlineStr">
        <is>
          <t>No</t>
        </is>
      </c>
      <c r="D16" s="2" t="inlineStr">
        <is>
          <t>Asesoría, Acompañamiento, Actividades en Sitio y Entrega de Informes</t>
        </is>
      </c>
      <c r="E16" s="2" t="inlineStr">
        <is>
          <t>Pendiente</t>
        </is>
      </c>
      <c r="F16" s="2" t="inlineStr">
        <is>
          <t>Ubicación para atención del Servicio: MOVILIDAD
Número de contacto para la atención del servicio: 3108608392
Frente: CORPORATIVO
Titulo: Acompañamiento sesión
Descripción: Se requiere apoyo de ing . soporte en sitio en una sesión para ajuste de archivo host en pc de PFA
Vie 24/07/2026, 'de' 3:00 PM a 4:00 PM
https://teams.microsoft.com/meet/23421226890304?p=ucEX6YlcUqYOQVA9hB
gracias
Tipo de Servicio: ACOMPAÑAMIENTO / EJECUCION DE ACTIVIDAD EN SITIO
Grupo Requerido: ZONA CENTRO
Fecha requerida para la actividad: 2026-07-24
Duración de la actividad en minutos: 60
</t>
        </is>
      </c>
      <c r="G16" s="2" t="inlineStr">
        <is>
          <t>SERVICIOS DE TECNOLOGIA-ASESORIA/ACOMPANAMIENTO/ACTIVIDADES-ACOMPAÑAMIENTO / EJECUCION DE ACTIVIDAD EN SITIO</t>
        </is>
      </c>
      <c r="H16" s="2" t="inlineStr">
        <is>
          <t>Web</t>
        </is>
      </c>
      <c r="I16" s="2" t="inlineStr">
        <is>
          <t>Baja</t>
        </is>
      </c>
      <c r="J16" s="5">
        <v>46224.944444444445</v>
      </c>
      <c r="K16" s="2" t="inlineStr">
        <is>
          <t>KEVIN ALEXIS GARCIA GUARACA</t>
        </is>
      </c>
      <c r="L16" s="2" t="inlineStr">
        <is>
          <t>ZONA CENTRO</t>
        </is>
      </c>
      <c r="M16" s="2" t="inlineStr">
        <is>
          <t>SERVICIOS DE TI</t>
        </is>
      </c>
      <c r="N16" s="2"/>
      <c r="O16" s="2" t="inlineStr">
        <is>
          <t>CORPORATIVO</t>
        </is>
      </c>
      <c r="P16" s="2"/>
      <c r="Q16" s="2" t="inlineStr">
        <is>
          <t>AGGGSWY0I24JCAT8KEVET8KEVE1Q4A</t>
        </is>
      </c>
      <c r="R16" s="2" t="inlineStr">
        <is>
          <t>a) 0-4</t>
        </is>
      </c>
      <c r="S16" s="4">
        <v>46227.75</v>
      </c>
      <c r="T16" s="2" t="inlineStr">
        <is>
          <t>CAJA DE COMPENSACION</t>
        </is>
      </c>
      <c r="U16" s="2" t="inlineStr">
        <is>
          <t>-</t>
        </is>
      </c>
      <c r="V16" s="2" t="inlineStr">
        <is>
          <t>24/07/2026 14:50</t>
        </is>
      </c>
    </row>
    <row r="17">
      <c r="A17" s="2" t="inlineStr">
        <is>
          <t>🟢</t>
        </is>
      </c>
      <c r="B17" s="3" t="str">
        <f>HYPERLINK("https://compensar-smartit.onbmc.com/smartit/app/#/workorder/IDGGSWY0I24JCAT8KZV9T8KZV9T4AQ","WO0000000310630")</f>
        <v>WO0000000310630</v>
      </c>
      <c r="C17" s="2" t="inlineStr">
        <is>
          <t>No</t>
        </is>
      </c>
      <c r="D17" s="2" t="inlineStr">
        <is>
          <t>Instalación de Intune en dispositivo móvil - Acompañamiento</t>
        </is>
      </c>
      <c r="E17" s="2" t="inlineStr">
        <is>
          <t>En curso</t>
        </is>
      </c>
      <c r="F17" s="2" t="inlineStr">
        <is>
          <t>Usuario: ANGELA PATRICIA JIMENEZ GUASCA
Informa: La usuaria se comunica con la Mesa de Servicio solicitando apoyo para la instalación del aplicativo Intune en su dispositivo móvil. Se valida que cuenta con los permisos requeridos. Se brindan indicaciones por vía telefónica; sin embargo, no es posible completar el proceso únicamente con orientación por voz, por lo que se requiere acompañamiento para finalizar la instalación.
Ubicación: Sede 69 - Piso 3, Torre B, Oficina 231
Tiempo: 09:46 22/07/2026
Impacto: Usuarios afectados 1
Placa de equipo: No aplica
Evidencias:
1. Se recibió la solicitud de instalación de Intune en el dispositivo móvil.
2. Se validó que la usuaria cuenta con los permisos requeridos.
3. Se brindó orientación telefónica para realizar la instalación.
4. No fue posible completar el proceso únicamente con indicaciones por voz.
5. Se determinó que se requiere acompañamiento para finalizar la instalación.
6. Se registró la cédula de la usuaria: 1024534481.
7. Se registró el teléfono de contacto: 3112240858.</t>
        </is>
      </c>
      <c r="G17" s="2" t="inlineStr">
        <is>
          <t>SERVICIOS DE TECNOLOGIA-ASESORIA/ACOMPANAMIENTO/ACTIVIDADES-ACOMPAÑAMIENTO / EJECUCION DE ACTIVIDAD EN SITIO</t>
        </is>
      </c>
      <c r="H17" s="2" t="inlineStr">
        <is>
          <t>Telefono</t>
        </is>
      </c>
      <c r="I17" s="2" t="inlineStr">
        <is>
          <t>Baja</t>
        </is>
      </c>
      <c r="J17" s="5">
        <v>46225.41527777778</v>
      </c>
      <c r="K17" s="2" t="inlineStr">
        <is>
          <t>IVAN FELIPE GARCIA MANRIQUE</t>
        </is>
      </c>
      <c r="L17" s="2" t="inlineStr">
        <is>
          <t>SPT CABECERA CARRERA 69</t>
        </is>
      </c>
      <c r="M17" s="2" t="inlineStr">
        <is>
          <t>SERVICIOS DE TI</t>
        </is>
      </c>
      <c r="N17" s="2"/>
      <c r="O17" s="2" t="inlineStr">
        <is>
          <t>SALUD</t>
        </is>
      </c>
      <c r="P17" s="2"/>
      <c r="Q17" s="2" t="inlineStr">
        <is>
          <t>IDGGSWY0I24JCAT8KZV9T8KZV9T4AQ</t>
        </is>
      </c>
      <c r="R17" s="2" t="inlineStr">
        <is>
          <t>a) 0-4</t>
        </is>
      </c>
      <c r="S17" s="4"/>
      <c r="T17" s="2"/>
      <c r="U17" s="2" t="inlineStr">
        <is>
          <t>-</t>
        </is>
      </c>
      <c r="V17" s="2" t="inlineStr">
        <is>
          <t>27/07/2026 09:59</t>
        </is>
      </c>
    </row>
    <row r="18">
      <c r="A18" s="2" t="inlineStr">
        <is>
          <t>🟠</t>
        </is>
      </c>
      <c r="B18" s="3" t="str">
        <f>HYPERLINK("https://compensar-smartit.onbmc.com/smartit/app/#/workorder/IDGIBMZTENYZ6AT8LE16T8LE16L8M4","WO0000000310781")</f>
        <v>WO0000000310781</v>
      </c>
      <c r="C18" s="2" t="inlineStr">
        <is>
          <t>No</t>
        </is>
      </c>
      <c r="D18" s="2" t="inlineStr">
        <is>
          <t>disco lleno c</t>
        </is>
      </c>
      <c r="E18" s="2" t="inlineStr">
        <is>
          <t>En curso</t>
        </is>
      </c>
      <c r="F18" s="2" t="inlineStr">
        <is>
          <t>Usuari@:Albert Yezid Saavedra Pamplona
Informa: El usuario se comunica indicando que presenta novedad con un usuario yael disco se encuentra lleno
Tiempo:11:28 a. m. 22/07/2026
Ubicación:CSDE TORRE D PISO 2 ZONA DE TELETRABAJO - 10 PUESTOS
Impacto: Usuarios afectados:1
se toma equipo de manere remota
se libera espacio y se eliminan temporales  pero el disco aun continua en rojo</t>
        </is>
      </c>
      <c r="G18" s="2" t="inlineStr">
        <is>
          <t>SERVICIOS DE TECNOLOGIA-ACOMPANAMIENTO-EJECUCION DE ACTIVIDADES EN SITIO</t>
        </is>
      </c>
      <c r="H18" s="2" t="inlineStr">
        <is>
          <t>Telefono</t>
        </is>
      </c>
      <c r="I18" s="2" t="inlineStr">
        <is>
          <t>Baja</t>
        </is>
      </c>
      <c r="J18" s="5">
        <v>46225.47777777778</v>
      </c>
      <c r="K18" s="2" t="inlineStr">
        <is>
          <t>DILAN SAMIR LOPEZ ARAUJO</t>
        </is>
      </c>
      <c r="L18" s="2" t="inlineStr">
        <is>
          <t>ZONA CENTRO</t>
        </is>
      </c>
      <c r="M18" s="2" t="inlineStr">
        <is>
          <t>SERVICIOS DE TI</t>
        </is>
      </c>
      <c r="N18" s="2"/>
      <c r="O18" s="2" t="inlineStr">
        <is>
          <t>BIENESTAR Y DESARROLLO SOCIAL</t>
        </is>
      </c>
      <c r="P18" s="2"/>
      <c r="Q18" s="2" t="inlineStr">
        <is>
          <t>IDGIBMZTENYZ6AT8LE16T8LE16L8M4</t>
        </is>
      </c>
      <c r="R18" s="2" t="inlineStr">
        <is>
          <t>a) 0-4</t>
        </is>
      </c>
      <c r="S18" s="4"/>
      <c r="T18" s="2"/>
      <c r="U18" s="2" t="inlineStr">
        <is>
          <t>-</t>
        </is>
      </c>
      <c r="V18" s="2" t="inlineStr">
        <is>
          <t>24/07/2026 13:56</t>
        </is>
      </c>
    </row>
    <row r="19">
      <c r="A19" s="2" t="inlineStr">
        <is>
          <t>🟢</t>
        </is>
      </c>
      <c r="B19" s="3" t="str">
        <f>HYPERLINK("https://compensar-smartit.onbmc.com/smartit/app/#/workorder/IDGIBMZTENYZ6AT8L6VKT8L6VKC6G6","WO0000000310888")</f>
        <v>WO0000000310888</v>
      </c>
      <c r="C19" s="2" t="inlineStr">
        <is>
          <t>No</t>
        </is>
      </c>
      <c r="D19" s="2" t="inlineStr">
        <is>
          <t>Revisión Equipos de Teletrabajo</t>
        </is>
      </c>
      <c r="E19" s="2" t="inlineStr">
        <is>
          <t>En curso</t>
        </is>
      </c>
      <c r="F19" s="2" t="inlineStr">
        <is>
          <t>buen día
Por favor escalar caso a FABIAN JESSID PASTRANA AGUIRRE, SPT CABECERA CARRERA 69 para realizar la actividad indicada en la siguiente maquina C008545.
Por favor realizar nivelación en programas que no se tiene, Eliminar temporales, liberar espacio en disco (Eliminar actualizaciones) y actualizar software, verificar periféricos y al mismo tiempo validar que cuenta con los programas:
Windows app
Zabbix
Gracias.</t>
        </is>
      </c>
      <c r="G19" s="2" t="inlineStr">
        <is>
          <t>SERVICIOS DE TECNOLOGIA-ACOMPANAMIENTO-EJECUCION DE ACTIVIDADES EN SITIO</t>
        </is>
      </c>
      <c r="H19" s="2" t="inlineStr">
        <is>
          <t>Web</t>
        </is>
      </c>
      <c r="I19" s="2" t="inlineStr">
        <is>
          <t>Baja</t>
        </is>
      </c>
      <c r="J19" s="5">
        <v>46225.66875</v>
      </c>
      <c r="K19" s="2" t="inlineStr">
        <is>
          <t>FABIAN JESSID PASTRANA AGUIRRE</t>
        </is>
      </c>
      <c r="L19" s="2" t="inlineStr">
        <is>
          <t>SPT CABECERA CARRERA 69</t>
        </is>
      </c>
      <c r="M19" s="2" t="inlineStr">
        <is>
          <t>SERVICIOS DE TI</t>
        </is>
      </c>
      <c r="N19" s="2" t="inlineStr">
        <is>
          <t>C008545</t>
        </is>
      </c>
      <c r="O19" s="2" t="inlineStr">
        <is>
          <t>SALUD</t>
        </is>
      </c>
      <c r="P19" s="2"/>
      <c r="Q19" s="2" t="inlineStr">
        <is>
          <t>IDGIBMZTENYZ6AT8L6VKT8L6VKC6G6</t>
        </is>
      </c>
      <c r="R19" s="2" t="inlineStr">
        <is>
          <t>a) 0-4</t>
        </is>
      </c>
      <c r="S19" s="4"/>
      <c r="T19" s="2" t="inlineStr">
        <is>
          <t>SALUD</t>
        </is>
      </c>
      <c r="U19" s="2" t="inlineStr">
        <is>
          <t>-</t>
        </is>
      </c>
      <c r="V19" s="2" t="inlineStr">
        <is>
          <t>27/07/2026 16:03</t>
        </is>
      </c>
    </row>
    <row r="20">
      <c r="A20" s="2" t="inlineStr">
        <is>
          <t>🟢</t>
        </is>
      </c>
      <c r="B20" s="3" t="str">
        <f>HYPERLINK("https://compensar-smartit.onbmc.com/smartit/app/#/workorder/AGGGSWY0I24JCAT8L45RT8L45R3UGX","WO0000000310974")</f>
        <v>WO0000000310974</v>
      </c>
      <c r="C20" s="2" t="inlineStr">
        <is>
          <t>No</t>
        </is>
      </c>
      <c r="D20" s="2" t="inlineStr">
        <is>
          <t>Instalación de Dispositivos o Periféricos</t>
        </is>
      </c>
      <c r="E20" s="2" t="inlineStr">
        <is>
          <t>Asignado</t>
        </is>
      </c>
      <c r="F20" s="2" t="inlineStr">
        <is>
          <t>Ubicación para atención del Servicio: KENNEDY II TECHO
Número de contacto para la atención del servicio: 3143949626
Frente: SALUD
Titulo: instalación zebra
Descripción: SEMSOLICTA POR FAVOR LA INTALACION IMPRESORA ZEBRA
Tipo de Servicio: INSTALACION DE DISPOSITIVOS O PERIFERICOS
Descripción del Dispositivo: BUEN DIA SE SOLICTA POR FAVOR LA INTALACION IMPRESORA ZEBRA PLACA 43526 - ACTIVO 134839, REALIZAR INTALACION 2 PISO AREA DE LABORATORIO CLINICO
</t>
        </is>
      </c>
      <c r="G20" s="2" t="inlineStr">
        <is>
          <t>SERVICIOS DE TECNOLOGIA-GESTION DE APLICACIONES-INSTALACION DE DISPOSITIVOS O PERIFERICOS</t>
        </is>
      </c>
      <c r="H20" s="2" t="inlineStr">
        <is>
          <t>Web</t>
        </is>
      </c>
      <c r="I20" s="2" t="inlineStr">
        <is>
          <t>Baja</t>
        </is>
      </c>
      <c r="J20" s="5">
        <v>46225.62777777778</v>
      </c>
      <c r="K20" s="2" t="inlineStr">
        <is>
          <t>NICK STEVE TRIANA LOPEZ</t>
        </is>
      </c>
      <c r="L20" s="2" t="inlineStr">
        <is>
          <t>SPT ZONA OCCIDENTE</t>
        </is>
      </c>
      <c r="M20" s="2" t="inlineStr">
        <is>
          <t>SERVICIOS DE TI</t>
        </is>
      </c>
      <c r="N20" s="2"/>
      <c r="O20" s="2" t="inlineStr">
        <is>
          <t>SALUD</t>
        </is>
      </c>
      <c r="P20" s="2"/>
      <c r="Q20" s="2" t="inlineStr">
        <is>
          <t>AGGGSWY0I24JCAT8L45RT8L45R3UGX</t>
        </is>
      </c>
      <c r="R20" s="2" t="inlineStr">
        <is>
          <t>a) 0-4</t>
        </is>
      </c>
      <c r="S20" s="4"/>
      <c r="T20" s="2" t="inlineStr">
        <is>
          <t>SALUD</t>
        </is>
      </c>
      <c r="U20" s="2" t="inlineStr">
        <is>
          <t>-</t>
        </is>
      </c>
      <c r="V20" s="2" t="inlineStr">
        <is>
          <t>27/07/2026 15:18</t>
        </is>
      </c>
    </row>
    <row r="21">
      <c r="A21" s="2" t="inlineStr">
        <is>
          <t>🟢</t>
        </is>
      </c>
      <c r="B21" s="3" t="str">
        <f>HYPERLINK("https://compensar-smartit.onbmc.com/smartit/app/#/workorder/IDGGSWY0I24JCAT8L6KYT8L6KY8IQQ","WO0000000311014")</f>
        <v>WO0000000311014</v>
      </c>
      <c r="C21" s="2" t="inlineStr">
        <is>
          <t>No</t>
        </is>
      </c>
      <c r="D21" s="2" t="inlineStr">
        <is>
          <t>Revisión Equipos de Teletrabajo</t>
        </is>
      </c>
      <c r="E21" s="2" t="inlineStr">
        <is>
          <t>En curso</t>
        </is>
      </c>
      <c r="F21" s="2" t="inlineStr">
        <is>
          <t>buen día
Por favor escalar caso a FABIAN JESSID PASTRANA AGUIRRE, SPT CABECERA CARRERA 69 para realizar la actividad indicada en la siguiente maquina C008522.
Por favor realizar nivelación en programas que no se tiene, Eliminar temporales, liberar espacio en disco (Eliminar actualizaciones) y actualizar software, verificar periféricos y al mismo tiempo validar que cuenta con los programas:
Windows app
Zabbix
Gracias.</t>
        </is>
      </c>
      <c r="G21" s="2" t="inlineStr">
        <is>
          <t>SERVICIOS DE TECNOLOGIA-ACOMPANAMIENTO-EJECUCION DE ACTIVIDADES EN SITIO</t>
        </is>
      </c>
      <c r="H21" s="2" t="inlineStr">
        <is>
          <t>Web</t>
        </is>
      </c>
      <c r="I21" s="2" t="inlineStr">
        <is>
          <t>Baja</t>
        </is>
      </c>
      <c r="J21" s="5">
        <v>46225.66180555556</v>
      </c>
      <c r="K21" s="2" t="inlineStr">
        <is>
          <t>FABIAN JESSID PASTRANA AGUIRRE</t>
        </is>
      </c>
      <c r="L21" s="2" t="inlineStr">
        <is>
          <t>SPT CABECERA CARRERA 69</t>
        </is>
      </c>
      <c r="M21" s="2" t="inlineStr">
        <is>
          <t>SERVICIOS DE TI</t>
        </is>
      </c>
      <c r="N21" s="2" t="inlineStr">
        <is>
          <t>C008522</t>
        </is>
      </c>
      <c r="O21" s="2" t="inlineStr">
        <is>
          <t>SALUD</t>
        </is>
      </c>
      <c r="P21" s="2"/>
      <c r="Q21" s="2" t="inlineStr">
        <is>
          <t>IDGGSWY0I24JCAT8L6KYT8L6KY8IQQ</t>
        </is>
      </c>
      <c r="R21" s="2" t="inlineStr">
        <is>
          <t>a) 0-4</t>
        </is>
      </c>
      <c r="S21" s="4"/>
      <c r="T21" s="2" t="inlineStr">
        <is>
          <t>SALUD</t>
        </is>
      </c>
      <c r="U21" s="2" t="inlineStr">
        <is>
          <t>-</t>
        </is>
      </c>
      <c r="V21" s="2" t="inlineStr">
        <is>
          <t>27/07/2026 15:53</t>
        </is>
      </c>
    </row>
    <row r="22">
      <c r="A22" s="2" t="inlineStr">
        <is>
          <t>🟢</t>
        </is>
      </c>
      <c r="B22" s="3" t="str">
        <f>HYPERLINK("https://compensar-smartit.onbmc.com/smartit/app/#/workorder/IDGGSWY0I24JCAT8L6SJT8L6SJ8MEJ","WO0000000311019")</f>
        <v>WO0000000311019</v>
      </c>
      <c r="C22" s="2" t="inlineStr">
        <is>
          <t>No</t>
        </is>
      </c>
      <c r="D22" s="2" t="inlineStr">
        <is>
          <t>Revisión Equipos de Teletrabajo</t>
        </is>
      </c>
      <c r="E22" s="2" t="inlineStr">
        <is>
          <t>En curso</t>
        </is>
      </c>
      <c r="F22" s="2" t="inlineStr">
        <is>
          <t>buen día
Por favor escalar caso a FABIAN JESSID PASTRANA AGUIRRE, SPT CABECERA CARRERA 69 para realizar la actividad indicada en la siguiente maquina C008909.
Por favor realizar nivelación en programas que no se tiene, Eliminar temporales, liberar espacio en disco (Eliminar actualizaciones) y actualizar software, verificar periféricos y al mismo tiempo validar que cuenta con los programas:
Windows app
Zabbix
Gracias.</t>
        </is>
      </c>
      <c r="G22" s="2" t="inlineStr">
        <is>
          <t>SERVICIOS DE TECNOLOGIA-ACOMPANAMIENTO-EJECUCION DE ACTIVIDADES EN SITIO</t>
        </is>
      </c>
      <c r="H22" s="2" t="inlineStr">
        <is>
          <t>Web</t>
        </is>
      </c>
      <c r="I22" s="2" t="inlineStr">
        <is>
          <t>Baja</t>
        </is>
      </c>
      <c r="J22" s="5">
        <v>46225.66388888889</v>
      </c>
      <c r="K22" s="2" t="inlineStr">
        <is>
          <t>FABIAN JESSID PASTRANA AGUIRRE</t>
        </is>
      </c>
      <c r="L22" s="2" t="inlineStr">
        <is>
          <t>SPT CABECERA CARRERA 69</t>
        </is>
      </c>
      <c r="M22" s="2" t="inlineStr">
        <is>
          <t>SERVICIOS DE TI</t>
        </is>
      </c>
      <c r="N22" s="2"/>
      <c r="O22" s="2" t="inlineStr">
        <is>
          <t>SALUD</t>
        </is>
      </c>
      <c r="P22" s="2"/>
      <c r="Q22" s="2" t="inlineStr">
        <is>
          <t>IDGGSWY0I24JCAT8L6SJT8L6SJ8MEJ</t>
        </is>
      </c>
      <c r="R22" s="2" t="inlineStr">
        <is>
          <t>a) 0-4</t>
        </is>
      </c>
      <c r="S22" s="4"/>
      <c r="T22" s="2" t="inlineStr">
        <is>
          <t>SALUD</t>
        </is>
      </c>
      <c r="U22" s="2" t="inlineStr">
        <is>
          <t>-</t>
        </is>
      </c>
      <c r="V22" s="2" t="inlineStr">
        <is>
          <t>27/07/2026 15:56</t>
        </is>
      </c>
    </row>
    <row r="23">
      <c r="A23" s="2" t="inlineStr">
        <is>
          <t>🟢</t>
        </is>
      </c>
      <c r="B23" s="3" t="str">
        <f>HYPERLINK("https://compensar-smartit.onbmc.com/smartit/app/#/workorder/IDGGSWY0I24JCAT8L7ZMT8L7ZMK7GU","WO0000000311031")</f>
        <v>WO0000000311031</v>
      </c>
      <c r="C23" s="2" t="inlineStr">
        <is>
          <t>No</t>
        </is>
      </c>
      <c r="D23" s="2" t="inlineStr">
        <is>
          <t>Revisión Equipos de Teletrabajo</t>
        </is>
      </c>
      <c r="E23" s="2" t="inlineStr">
        <is>
          <t>En curso</t>
        </is>
      </c>
      <c r="F23" s="2" t="inlineStr">
        <is>
          <t>buen día
Por favor escalar caso a FABIAN JESSID PASTRANA AGUIRRE, SPT CABECERA CARRERA 69 para realizar la actividad indicada en la siguiente maquina C008413.
Por favor realizar nivelación en programas que no se tiene, Eliminar temporales, liberar espacio en disco (Eliminar actualizaciones) y actualizar software, verificar periféricos y al mismo tiempo validar que cuenta con los programas:
Windows app
Zabbix
Gracias.</t>
        </is>
      </c>
      <c r="G23" s="2" t="inlineStr">
        <is>
          <t>SERVICIOS DE TECNOLOGIA-ACOMPANAMIENTO-EJECUCION DE ACTIVIDADES EN SITIO</t>
        </is>
      </c>
      <c r="H23" s="2" t="inlineStr">
        <is>
          <t>Web</t>
        </is>
      </c>
      <c r="I23" s="2" t="inlineStr">
        <is>
          <t>Baja</t>
        </is>
      </c>
      <c r="J23" s="5">
        <v>46225.68194444444</v>
      </c>
      <c r="K23" s="2" t="inlineStr">
        <is>
          <t>FABIAN JESSID PASTRANA AGUIRRE</t>
        </is>
      </c>
      <c r="L23" s="2" t="inlineStr">
        <is>
          <t>SPT CABECERA CARRERA 69</t>
        </is>
      </c>
      <c r="M23" s="2" t="inlineStr">
        <is>
          <t>SERVICIOS DE TI</t>
        </is>
      </c>
      <c r="N23" s="2" t="inlineStr">
        <is>
          <t>C008413</t>
        </is>
      </c>
      <c r="O23" s="2" t="inlineStr">
        <is>
          <t>SALUD</t>
        </is>
      </c>
      <c r="P23" s="2"/>
      <c r="Q23" s="2" t="inlineStr">
        <is>
          <t>IDGGSWY0I24JCAT8L7ZMT8L7ZMK7GU</t>
        </is>
      </c>
      <c r="R23" s="2" t="inlineStr">
        <is>
          <t>a) 0-4</t>
        </is>
      </c>
      <c r="S23" s="4"/>
      <c r="T23" s="2" t="inlineStr">
        <is>
          <t>SALUD</t>
        </is>
      </c>
      <c r="U23" s="2" t="inlineStr">
        <is>
          <t>-</t>
        </is>
      </c>
      <c r="V23" s="2" t="inlineStr">
        <is>
          <t>27/07/2026 16:22</t>
        </is>
      </c>
    </row>
    <row r="24">
      <c r="A24" s="2" t="inlineStr">
        <is>
          <t>🟢</t>
        </is>
      </c>
      <c r="B24" s="3" t="str">
        <f>HYPERLINK("https://compensar-smartit.onbmc.com/smartit/app/#/workorder/IDGGSWY0I24JCAT8L8IRT8L8IRKTBV","WO0000000311036")</f>
        <v>WO0000000311036</v>
      </c>
      <c r="C24" s="2" t="inlineStr">
        <is>
          <t>No</t>
        </is>
      </c>
      <c r="D24" s="2" t="inlineStr">
        <is>
          <t>Revisión Equipos de Teletrabajo</t>
        </is>
      </c>
      <c r="E24" s="2" t="inlineStr">
        <is>
          <t>En curso</t>
        </is>
      </c>
      <c r="F24" s="2" t="inlineStr">
        <is>
          <t>buen día
Por favor escalar caso a FABIAN JESSID PASTRANA AGUIRRE, SPT CABECERA CARRERA 69 para realizar la actividad indicada en la siguiente maquina C008986.
Por favor realizar nivelación en programas que no se tiene, Eliminar temporales, liberar espacio en disco (Eliminar actualizaciones) y actualizar software, verificar periféricos y al mismo tiempo validar que cuenta con los programas:
Windows app
Zabbix
Gracias.</t>
        </is>
      </c>
      <c r="G24" s="2" t="inlineStr">
        <is>
          <t>SERVICIOS DE TECNOLOGIA-ACOMPANAMIENTO-EJECUCION DE ACTIVIDADES EN SITIO</t>
        </is>
      </c>
      <c r="H24" s="2" t="inlineStr">
        <is>
          <t>Web</t>
        </is>
      </c>
      <c r="I24" s="2" t="inlineStr">
        <is>
          <t>Baja</t>
        </is>
      </c>
      <c r="J24" s="5">
        <v>46225.68541666667</v>
      </c>
      <c r="K24" s="2" t="inlineStr">
        <is>
          <t>FABIAN JESSID PASTRANA AGUIRRE</t>
        </is>
      </c>
      <c r="L24" s="2" t="inlineStr">
        <is>
          <t>SPT CABECERA CARRERA 69</t>
        </is>
      </c>
      <c r="M24" s="2" t="inlineStr">
        <is>
          <t>SERVICIOS DE TI</t>
        </is>
      </c>
      <c r="N24" s="2" t="inlineStr">
        <is>
          <t>C008986</t>
        </is>
      </c>
      <c r="O24" s="2" t="inlineStr">
        <is>
          <t>SALUD</t>
        </is>
      </c>
      <c r="P24" s="2"/>
      <c r="Q24" s="2" t="inlineStr">
        <is>
          <t>IDGGSWY0I24JCAT8L8IRT8L8IRKTBV</t>
        </is>
      </c>
      <c r="R24" s="2" t="inlineStr">
        <is>
          <t>a) 0-4</t>
        </is>
      </c>
      <c r="S24" s="4"/>
      <c r="T24" s="2" t="inlineStr">
        <is>
          <t>SALUD</t>
        </is>
      </c>
      <c r="U24" s="2" t="inlineStr">
        <is>
          <t>-</t>
        </is>
      </c>
      <c r="V24" s="2" t="inlineStr">
        <is>
          <t>27/07/2026 16:27</t>
        </is>
      </c>
    </row>
    <row r="25">
      <c r="A25" s="2" t="inlineStr">
        <is>
          <t>🟢</t>
        </is>
      </c>
      <c r="B25" s="3" t="str">
        <f>HYPERLINK("https://compensar-smartit.onbmc.com/smartit/app/#/workorder/IDGGSWY0I24JCAT8L9OST8L9OSMS5K","WO0000000311046")</f>
        <v>WO0000000311046</v>
      </c>
      <c r="C25" s="2" t="inlineStr">
        <is>
          <t>No</t>
        </is>
      </c>
      <c r="D25" s="2" t="inlineStr">
        <is>
          <t>Falla - Intermitencia con la Red en el equipo</t>
        </is>
      </c>
      <c r="E25" s="2" t="inlineStr">
        <is>
          <t>Asignado</t>
        </is>
      </c>
      <c r="F25" s="2" t="inlineStr">
        <is>
          <t>Ubicación para atención del Servicio: ACUEDUCTO PISO 1 ADMINISTRACION
Número de contacto para la atención del servicio: 3022742103
Frente: CENTRO DE SERVICIOS COMPARTIDOS
Afectación: OTRO SERVICIO
Nombre del Servicio Afectado: punto de red dejó de operar
Nombre de equipo (inventario o placa): 152800017967
Descripción del incidente o falla: tras una actualización solicitada por el sistema, el punto de red dejó de operar, por lo que actualmente me encuentro trabajando nuevamente con conexión Wi-Fi, la cual es intermitente.152800017967-0000-PP2 D0-4, usuario afectado AURA NATALY ALMONACID CASTAÑEDA &lt;ANALMONACIDC@compensar.com&gt;, ubicada en Bloque G primer piso.</t>
        </is>
      </c>
      <c r="G25" s="2" t="inlineStr">
        <is>
          <t>SERVICIOS DE TECNOLOGIA-REDES-ASESORIAS PROYECTOS Y /O SERVICIOS</t>
        </is>
      </c>
      <c r="H25" s="2" t="inlineStr">
        <is>
          <t>Web</t>
        </is>
      </c>
      <c r="I25" s="2" t="inlineStr">
        <is>
          <t>Baja</t>
        </is>
      </c>
      <c r="J25" s="5">
        <v>46225.70694444444</v>
      </c>
      <c r="K25" s="2" t="inlineStr">
        <is>
          <t>ANDERSON JULIAN RATIVA RAMIREZ</t>
        </is>
      </c>
      <c r="L25" s="2" t="inlineStr">
        <is>
          <t>ZONA CENTRO</t>
        </is>
      </c>
      <c r="M25" s="2" t="inlineStr">
        <is>
          <t>SERVICIOS DE TI</t>
        </is>
      </c>
      <c r="N25" s="2"/>
      <c r="O25" s="2" t="inlineStr">
        <is>
          <t>BIENESTAR Y DESARROLLO SOCIAL</t>
        </is>
      </c>
      <c r="P25" s="2"/>
      <c r="Q25" s="2" t="inlineStr">
        <is>
          <t>IDGGSWY0I24JCAT8L9OST8L9OSMS5K</t>
        </is>
      </c>
      <c r="R25" s="2" t="inlineStr">
        <is>
          <t>a) 0-4</t>
        </is>
      </c>
      <c r="S25" s="4"/>
      <c r="T25" s="2"/>
      <c r="U25" s="2" t="inlineStr">
        <is>
          <t>-</t>
        </is>
      </c>
      <c r="V25" s="2" t="inlineStr">
        <is>
          <t>27/07/2026 15:34</t>
        </is>
      </c>
    </row>
    <row r="26">
      <c r="A26" s="2" t="inlineStr">
        <is>
          <t>🟢</t>
        </is>
      </c>
      <c r="B26" s="3" t="str">
        <f>HYPERLINK("https://compensar-smartit.onbmc.com/smartit/app/#/workorder/AGGGSWY0I24JCAT8LLNPT8LLNPOQ5P","WO0000000311055")</f>
        <v>WO0000000311055</v>
      </c>
      <c r="C26" s="2" t="inlineStr">
        <is>
          <t>No</t>
        </is>
      </c>
      <c r="D26" s="2" t="inlineStr">
        <is>
          <t>SOPORTE FUNCIONAL ERP SAP</t>
        </is>
      </c>
      <c r="E26" s="2" t="inlineStr">
        <is>
          <t>En curso</t>
        </is>
      </c>
      <c r="F26" s="2" t="inlineStr">
        <is>
          <t xml:space="preserve">Detalles del Servicio
Título: Solicitud Validación validación del Usuario CC 52821993 LUZ YAZMIN RUIZ MARTINEZ con el cargo AUXI-LIAR DE ENFERMERIA ya que refiere que se bloquea Constamente en SAP
Descripción: Buen día 
Se solicita validación del Usuario CC 52821993 LUZ YAZMIN RUIZ MARTINEZ con el cargo AU-XILIAR DE ENFERMERIA ya que el usuario refiere que se bloquea constantemente en SAP realiza la Autogestión sin inconvenientes, pero informa que siempre que cierra sesión e ingresa ya se en-cuentra bloqueada.
CC 52821993
LUZ YAZMIN RUIZ MARTINEZ
Cargo: AUXILIAR DE ENFERMERIA
Rol: ZCOB_00011A_SEN_000 AUXILIAR DE ENFERMERIA
Correo: JACITA21@HOTMAIL.COM
Celular: 3016041999
Gracias.
Tipo de Identificación del Usuario: CC - CEDULA DE CIUDADANIA
Número de Identificación del Usuario: 1087550453
Nombre del Usuario: MARY LUZ CAÑAS SANCHEZ
Dirección Física: AV CRA 9 N 131 A 40
Teléfono o Extensión: 3202116788
Frente: SALUD
Tipo de Identificación del Paciente: CC - CEDULA DE CIUDADANIA
Número de Identificación del Paciente: NA
Seleccione el tipo de Error: 
Nombre del Paciente: NA
Cargo del Funcionario: NA
Episodio: NA
Fecha y Hora de la Transacción: 2026-07-22T17:40:00-05:00[America/Bogota]
Transacción: 
Puesto de trabajo: 
Actividades y descripción del caso: </t>
        </is>
      </c>
      <c r="G26" s="2" t="inlineStr">
        <is>
          <t>SERVICIOS DE TECNOLOGIA-SOPORTE FUNCIONAL ERP SAP-GESTION LOGISTICA SAP</t>
        </is>
      </c>
      <c r="H26" s="2" t="inlineStr">
        <is>
          <t>Web</t>
        </is>
      </c>
      <c r="I26" s="2" t="inlineStr">
        <is>
          <t>Baja</t>
        </is>
      </c>
      <c r="J26" s="5">
        <v>46225.73611111111</v>
      </c>
      <c r="K26" s="2" t="inlineStr">
        <is>
          <t>EDWIN ALEXIS PATIÑO TEJEDOR</t>
        </is>
      </c>
      <c r="L26" s="2" t="inlineStr">
        <is>
          <t>SPT ZONA NORTE</t>
        </is>
      </c>
      <c r="M26" s="2" t="inlineStr">
        <is>
          <t>SERVICIOS DE TI</t>
        </is>
      </c>
      <c r="N26" s="2" t="inlineStr">
        <is>
          <t>SWPR136 SAP</t>
        </is>
      </c>
      <c r="O26" s="2" t="inlineStr">
        <is>
          <t>SALUD</t>
        </is>
      </c>
      <c r="P26" s="2"/>
      <c r="Q26" s="2" t="inlineStr">
        <is>
          <t>AGGGSWY0I24JCAT8LLNPT8LLNPOQ5P</t>
        </is>
      </c>
      <c r="R26" s="2" t="inlineStr">
        <is>
          <t>a) 0-4</t>
        </is>
      </c>
      <c r="S26" s="4"/>
      <c r="T26" s="2" t="inlineStr">
        <is>
          <t>SALUD</t>
        </is>
      </c>
      <c r="U26" s="2" t="inlineStr">
        <is>
          <t>-</t>
        </is>
      </c>
      <c r="V26" s="2" t="inlineStr">
        <is>
          <t>28/07/2026 09:27</t>
        </is>
      </c>
    </row>
    <row r="27">
      <c r="A27" s="2" t="inlineStr">
        <is>
          <t>🟢</t>
        </is>
      </c>
      <c r="B27" s="3" t="str">
        <f>HYPERLINK("https://compensar-smartit.onbmc.com/smartit/app/#/workorder/AGGGSWY0I24JCAT8MUG1T8MUG10X5Z","WO0000000311247")</f>
        <v>WO0000000311247</v>
      </c>
      <c r="C27" s="2" t="inlineStr">
        <is>
          <t>No</t>
        </is>
      </c>
      <c r="D27" s="2" t="inlineStr">
        <is>
          <t>Aplicación de Usuario Final</t>
        </is>
      </c>
      <c r="E27" s="2" t="inlineStr">
        <is>
          <t>En curso</t>
        </is>
      </c>
      <c r="F27" s="2" t="inlineStr">
        <is>
          <t>Ubicación para atención del Servicio: CEF TORRE SIGLO XXI PISO 1 OFICINA CHEF
Número de contacto para la atención del servicio: 3228951488
Frente: BIENESTAR Y DESARROLLO SOCIAL
Titulo: Solicitud de ajuste autenticador Microsoft
Descripción: Buen dia, 
Solicito configuracion de Autenticador Microsoft en equipo movil nuevo.
Tipo de Servicio: INSTALAR DESINSTALAR APLICACION
Aplicación: CRM
</t>
        </is>
      </c>
      <c r="G27" s="2" t="inlineStr">
        <is>
          <t>SERVICIOS DE TECNOLOGIA-GESTION DE APLICACIONES-INSTALAR DESINSTALAR APLICACION</t>
        </is>
      </c>
      <c r="H27" s="2" t="inlineStr">
        <is>
          <t>Web</t>
        </is>
      </c>
      <c r="I27" s="2" t="inlineStr">
        <is>
          <t>Baja</t>
        </is>
      </c>
      <c r="J27" s="5">
        <v>46226.40416666667</v>
      </c>
      <c r="K27" s="2" t="inlineStr">
        <is>
          <t>GERLYN RENTERIA OROZCO</t>
        </is>
      </c>
      <c r="L27" s="2" t="inlineStr">
        <is>
          <t>ZONA CENTRO</t>
        </is>
      </c>
      <c r="M27" s="2" t="inlineStr">
        <is>
          <t>SERVICIOS DE TI</t>
        </is>
      </c>
      <c r="N27" s="2"/>
      <c r="O27" s="2" t="inlineStr">
        <is>
          <t>BIENESTAR Y DESARROLLO SOCIAL</t>
        </is>
      </c>
      <c r="P27" s="2"/>
      <c r="Q27" s="2" t="inlineStr">
        <is>
          <t>AGGGSWY0I24JCAT8MUG1T8MUG10X5Z</t>
        </is>
      </c>
      <c r="R27" s="2" t="inlineStr">
        <is>
          <t>a) 0-4</t>
        </is>
      </c>
      <c r="S27" s="4"/>
      <c r="T27" s="2" t="inlineStr">
        <is>
          <t>CAJA DE COMPENSACION</t>
        </is>
      </c>
      <c r="U27" s="2" t="inlineStr">
        <is>
          <t>-</t>
        </is>
      </c>
      <c r="V27" s="2" t="inlineStr">
        <is>
          <t>28/07/2026 09:42</t>
        </is>
      </c>
    </row>
    <row r="28">
      <c r="A28" s="2" t="inlineStr">
        <is>
          <t>🟢</t>
        </is>
      </c>
      <c r="B28" s="3" t="str">
        <f>HYPERLINK("https://compensar-smartit.onbmc.com/smartit/app/#/workorder/IDGGSWY0I24JCAT8MWI1T8MWI13LJF","WO0000000311264")</f>
        <v>WO0000000311264</v>
      </c>
      <c r="C28" s="2" t="inlineStr">
        <is>
          <t>No</t>
        </is>
      </c>
      <c r="D28" s="2" t="inlineStr">
        <is>
          <t>Instalación de CUBIERTA INFERIOR activo P014909 sede CARRERA 69 - WO0000000287464</t>
        </is>
      </c>
      <c r="E28" s="2" t="inlineStr">
        <is>
          <t>Asignado</t>
        </is>
      </c>
      <c r="F28" s="2" t="inlineStr">
        <is>
          <t>Saludos	
Apreciado, reciba un cordial saludo, se aprobó por parte del ADMIN de activos el cambio, bodega enviará y gestionará la logística de despacho de la parte solicitada, por favor realizar entrega e instalación de: CUBIERTA INFERIOR En la sede CARRERA 69 MOVIL, equipo HEWLETT PACKARD HP ELITEBOOK 640 G9 Con placa P014909, usuaria/o responsable ADRIANA BAREÑO RODRIGUEZ. En atención al caso WO0000000287464.	
SPT ASIGNADO CESAR ANDRES QUESADA VIQUE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28" s="2" t="inlineStr">
        <is>
          <t>SERVICIOS DE TECNOLOGIA-ASESORIA/ACOMPANAMIENTO/ACTIVIDADES-EJECUCION DE ACTIVIDADES EN SITIO</t>
        </is>
      </c>
      <c r="H28" s="2" t="inlineStr">
        <is>
          <t>Web</t>
        </is>
      </c>
      <c r="I28" s="2" t="inlineStr">
        <is>
          <t>Baja</t>
        </is>
      </c>
      <c r="J28" s="5">
        <v>46226.43541666667</v>
      </c>
      <c r="K28" s="2" t="inlineStr">
        <is>
          <t>JUAN CAMILO RINCON BLANCO</t>
        </is>
      </c>
      <c r="L28" s="2" t="inlineStr">
        <is>
          <t>SPT CABECERA CARRERA 69</t>
        </is>
      </c>
      <c r="M28" s="2" t="inlineStr">
        <is>
          <t>SERVICIOS DE TI</t>
        </is>
      </c>
      <c r="N28" s="2"/>
      <c r="O28" s="2" t="inlineStr">
        <is>
          <t>SALUD</t>
        </is>
      </c>
      <c r="P28" s="2"/>
      <c r="Q28" s="2" t="inlineStr">
        <is>
          <t>IDGGSWY0I24JCAT8MWI1T8MWI13LJF</t>
        </is>
      </c>
      <c r="R28" s="2" t="inlineStr">
        <is>
          <t>a) 0-4</t>
        </is>
      </c>
      <c r="S28" s="4"/>
      <c r="T28" s="2"/>
      <c r="U28" s="2" t="inlineStr">
        <is>
          <t>-</t>
        </is>
      </c>
      <c r="V28" s="2" t="inlineStr">
        <is>
          <t>28/07/2026 10:27</t>
        </is>
      </c>
    </row>
    <row r="29">
      <c r="A29" s="2" t="inlineStr">
        <is>
          <t>🟢</t>
        </is>
      </c>
      <c r="B29" s="3" t="str">
        <f>HYPERLINK("https://compensar-smartit.onbmc.com/smartit/app/#/workorder/IDGGSWY0I24JCAT8MW2ST8MW2S3PVI","WO0000000311266")</f>
        <v>WO0000000311266</v>
      </c>
      <c r="C29" s="2" t="inlineStr">
        <is>
          <t>No</t>
        </is>
      </c>
      <c r="D29" s="2" t="inlineStr">
        <is>
          <t>Instalación de MONITOR DESKTOP activo C005987 sede KENNEDY - WO0000000309816</t>
        </is>
      </c>
      <c r="E29" s="2" t="inlineStr">
        <is>
          <t>En curso</t>
        </is>
      </c>
      <c r="F29" s="2" t="inlineStr">
        <is>
          <t>Saludos	
Apreciado, reciba un cordial saludo, se aprobó por parte del ADMIN de activos el cambio, bodega enviará y gestionará la logística de despacho de la parte solicitada, por favor realizar entrega e instalación de: MONITOR DESKTOP En la sede KENNEDY PISO 2 TERAPIA FISICA, equipo DELL DELL OPTIPLEX 3060 Con placa C005987, usuaria/o responsable ANDREA CAROLINA RIVERA RODRIGUEZ. En atención al caso WO0000000309816.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29" s="2" t="inlineStr">
        <is>
          <t>SERVICIOS DE TECNOLOGIA-ASESORIA/ACOMPANAMIENTO/ACTIVIDADES-EJECUCION DE ACTIVIDADES EN SITIO</t>
        </is>
      </c>
      <c r="H29" s="2" t="inlineStr">
        <is>
          <t>Web</t>
        </is>
      </c>
      <c r="I29" s="2" t="inlineStr">
        <is>
          <t>Baja</t>
        </is>
      </c>
      <c r="J29" s="5">
        <v>46226.43680555555</v>
      </c>
      <c r="K29" s="2" t="inlineStr">
        <is>
          <t>ALLISSON MAURICIO MORENO PABON</t>
        </is>
      </c>
      <c r="L29" s="2" t="inlineStr">
        <is>
          <t>SPT CABECERA KENNEDY</t>
        </is>
      </c>
      <c r="M29" s="2" t="inlineStr">
        <is>
          <t>SERVICIOS DE TI</t>
        </is>
      </c>
      <c r="N29" s="2"/>
      <c r="O29" s="2" t="inlineStr">
        <is>
          <t>SALUD</t>
        </is>
      </c>
      <c r="P29" s="2"/>
      <c r="Q29" s="2" t="inlineStr">
        <is>
          <t>IDGGSWY0I24JCAT8MW2ST8MW2S3PVI</t>
        </is>
      </c>
      <c r="R29" s="2" t="inlineStr">
        <is>
          <t>a) 0-4</t>
        </is>
      </c>
      <c r="S29" s="4"/>
      <c r="T29" s="2"/>
      <c r="U29" s="2" t="inlineStr">
        <is>
          <t>-</t>
        </is>
      </c>
      <c r="V29" s="2" t="inlineStr">
        <is>
          <t>28/07/2026 10:29</t>
        </is>
      </c>
    </row>
    <row r="30">
      <c r="A30" s="2" t="inlineStr">
        <is>
          <t>🟢</t>
        </is>
      </c>
      <c r="B30" s="3" t="str">
        <f>HYPERLINK("https://compensar-smartit.onbmc.com/smartit/app/#/workorder/AGGIBMZTENYZ6AT8NBLET8NBLEACZF","WO0000000311358")</f>
        <v>WO0000000311358</v>
      </c>
      <c r="C30" s="2" t="inlineStr">
        <is>
          <t>No</t>
        </is>
      </c>
      <c r="D30" s="2" t="inlineStr">
        <is>
          <t>BF: Aplicación de Usuario Final</t>
        </is>
      </c>
      <c r="E30" s="2" t="inlineStr">
        <is>
          <t>Asignado</t>
        </is>
      </c>
      <c r="F30" s="2" t="inlineStr">
        <is>
          <t>Ubicación para atención del Servicio: BLOQUE F TORRE F PISO 2 MERCADEO
Número de contacto para la atención del servicio: 3004819609
Frente: BIENESTAR Y DESARROLLO SOCIAL
Titulo: instalación de zeus
Descripción: instalación de zeus para la señorita ANA MARIA BUITRAGO, numero telefonico: 3227872302, correo electronico AMBUITRAGOG@compensar.com
Tipo de Servicio: INSTALAR DESINSTALAR APLICACION
Aplicación: SWEX36-ZEUS
</t>
        </is>
      </c>
      <c r="G30" s="2" t="inlineStr">
        <is>
          <t>SERVICIOS DE TECNOLOGIA-GESTION DE APLICACIONES-INSTALAR DESINSTALAR APLICACION</t>
        </is>
      </c>
      <c r="H30" s="2" t="inlineStr">
        <is>
          <t>Web</t>
        </is>
      </c>
      <c r="I30" s="2" t="inlineStr">
        <is>
          <t>Baja</t>
        </is>
      </c>
      <c r="J30" s="5">
        <v>46226.51527777778</v>
      </c>
      <c r="K30" s="2" t="inlineStr">
        <is>
          <t>KEVIN ALEXIS GARCIA GUARACA</t>
        </is>
      </c>
      <c r="L30" s="2" t="inlineStr">
        <is>
          <t>ZONA CENTRO</t>
        </is>
      </c>
      <c r="M30" s="2" t="inlineStr">
        <is>
          <t>SERVICIOS DE TI</t>
        </is>
      </c>
      <c r="N30" s="2"/>
      <c r="O30" s="2" t="inlineStr">
        <is>
          <t>BIENESTAR Y DESARROLLO SOCIAL</t>
        </is>
      </c>
      <c r="P30" s="2"/>
      <c r="Q30" s="2" t="inlineStr">
        <is>
          <t>AGGIBMZTENYZ6AT8NBLET8NBLEACZF</t>
        </is>
      </c>
      <c r="R30" s="2" t="inlineStr">
        <is>
          <t>a) 0-4</t>
        </is>
      </c>
      <c r="S30" s="4"/>
      <c r="T30" s="2" t="inlineStr">
        <is>
          <t>CAJA DE COMPENSACION</t>
        </is>
      </c>
      <c r="U30" s="2" t="inlineStr">
        <is>
          <t>-</t>
        </is>
      </c>
      <c r="V30" s="2" t="inlineStr">
        <is>
          <t>28/07/2026 12:22</t>
        </is>
      </c>
    </row>
    <row r="31">
      <c r="A31" s="2" t="inlineStr">
        <is>
          <t>🟢</t>
        </is>
      </c>
      <c r="B31" s="3" t="str">
        <f>HYPERLINK("https://compensar-smartit.onbmc.com/smartit/app/#/workorder/AGGGSWY0I24JCAT8NHQ4T8NHQ4R4DX","WO0000000311457")</f>
        <v>WO0000000311457</v>
      </c>
      <c r="C31" s="2" t="inlineStr">
        <is>
          <t>No</t>
        </is>
      </c>
      <c r="D31" s="2" t="inlineStr">
        <is>
          <t>Aplicación de Usuario Final</t>
        </is>
      </c>
      <c r="E31" s="2" t="inlineStr">
        <is>
          <t>En curso</t>
        </is>
      </c>
      <c r="F31" s="2" t="inlineStr">
        <is>
          <t>Ubicación para atención del Servicio: CRA 69 B TORRE B PISO 2 OFICINAS
Número de contacto para la atención del servicio: 3123256049
Frente: SALUD
Titulo: Actualización de WINDOWS
Descripción: Buenas tardes
Solicito de tu amable colaboración nos ayuden con la actualización del equipo de computo C005576
Tipo de Servicio: INSTALAR DESINSTALAR APLICACION
Aplicación: WSPR61 INTEROPERABILIDAD
Adjunto: [AGGGSWY0I24JCAT8NHQIT8NHQIR3RJ]
</t>
        </is>
      </c>
      <c r="G31" s="2" t="inlineStr">
        <is>
          <t>SERVICIOS DE TECNOLOGIA-GESTION DE APLICACIONES-INSTALAR DESINSTALAR APLICACION</t>
        </is>
      </c>
      <c r="H31" s="2" t="inlineStr">
        <is>
          <t>Web</t>
        </is>
      </c>
      <c r="I31" s="2" t="inlineStr">
        <is>
          <t>Baja</t>
        </is>
      </c>
      <c r="J31" s="5">
        <v>46226.60763888889</v>
      </c>
      <c r="K31" s="2" t="inlineStr">
        <is>
          <t>JUAN CAMILO RINCON BLANCO</t>
        </is>
      </c>
      <c r="L31" s="2" t="inlineStr">
        <is>
          <t>SPT CABECERA CARRERA 69</t>
        </is>
      </c>
      <c r="M31" s="2" t="inlineStr">
        <is>
          <t>SERVICIOS DE TI</t>
        </is>
      </c>
      <c r="N31" s="2"/>
      <c r="O31" s="2" t="inlineStr">
        <is>
          <t>SALUD</t>
        </is>
      </c>
      <c r="P31" s="2"/>
      <c r="Q31" s="2" t="inlineStr">
        <is>
          <t>AGGGSWY0I24JCAT8NHQ4T8NHQ4R4DX</t>
        </is>
      </c>
      <c r="R31" s="2" t="inlineStr">
        <is>
          <t>a) 0-4</t>
        </is>
      </c>
      <c r="S31" s="4"/>
      <c r="T31" s="2" t="inlineStr">
        <is>
          <t>SALUD</t>
        </is>
      </c>
      <c r="U31" s="2" t="inlineStr">
        <is>
          <t>-</t>
        </is>
      </c>
      <c r="V31" s="2" t="inlineStr">
        <is>
          <t>28/07/2026 14:42</t>
        </is>
      </c>
    </row>
    <row r="32">
      <c r="A32" s="2" t="inlineStr">
        <is>
          <t>🟢</t>
        </is>
      </c>
      <c r="B32" s="3" t="str">
        <f>HYPERLINK("https://compensar-smartit.onbmc.com/smartit/app/#/workorder/IDGGSWY0I24JCAT8NJKDT8NJKDU4NJ","WO0000000311476")</f>
        <v>WO0000000311476</v>
      </c>
      <c r="C32" s="2" t="inlineStr">
        <is>
          <t>No</t>
        </is>
      </c>
      <c r="D32" s="2" t="inlineStr">
        <is>
          <t>Envio/instalación HP ELITEBOOK 830 G8 activo 515000008385 cambio mainboard por garantía</t>
        </is>
      </c>
      <c r="E32" s="2" t="inlineStr">
        <is>
          <t>Asignado</t>
        </is>
      </c>
      <c r="F32" s="2" t="inlineStr">
        <is>
          <t>Usuario: Leidy Linares
Informa: El equipo no enciende, la falla ya es reincidente. El usuario ya esta en el área de tecnología e indica que se debe asignar al spt Anderson Rativa
📍 Ubicación: CSDE TECNOLOGIA
Tiempo: 15:15
Impacto: 1
Estimado(a) Usuario(a): LEIDY LINARES FIGUEREDO
Le informamos que su caso fue escalado al equipo especializado en contratos de Hewlett-Packard con el número de seguimiento WO0000000305312. Tras la revisión correspondiente, el área encargada ha validado la información y nos ha proporcionado la siguiente respuesta:
“
Buen día,
Estimado usuario,
Lo contacto de Soporte S.A, Centro Autorizado de Servicios de HP, en referencia al caso 5162174674, para el equipo con serial 5CG2270QC1. Dado que hemos recibido confirmación por parte de nuestro técnico de que el equipo ha sido reparado, damos por cerrado el evento. Sin embargo, si presenta algún inconveniente con su máquina dentro de los próximos 15 días del servicio, por favor ponerse en contacto a través de la línea WhatsApp 3004750277 o al correo coordinador.garantias@soporte.com.co.
Se revisa equipo, maquina no enciende, se realizan pruebas con el adaptador original del equipo, validando con anterioridad su funcionamiento, pero el equipo sigue sin encender y no genera led indicativo de carga en DC-IN, se desensambla el equipo, se validan conexiones y se realiza un drenado de energía para verificar que la anomalía que se está presentado no se a causada por cargas de estática, pero esto no da solución a la falla, se realizan pruebas en configuración mínima para descartar fallas en componentes internos del equipo que se encuentran conectados a la Placa Base (Board), pero la falla persiste, se procede a realizar CMOS reset para descartar fallos en botón Power, pero el equipo sigue sin encender, se procede a revisar equipo detalladamente en donde no se encuentra ninguna anomalía como daño provocado por derrame de líquidos o alguna mala manipulación, las pruebas indican daño en Placa Base (Board), se realiza cambio de esta, equipo enciende, se realizan pruebas sin presentar fallas, se ensambla nuevamente el equipo, se realiza test UEFI de sistema y componentes en donde no genera ningún ID de falla, se inicia equipo en Sistema Operativo este no presenta ninguna falla adicional, se valida el correcto funcionamiento del equipo con usuario.”
En el transcurso de la semana el funcionario de tecnológia le estará contactando para coordinar la entrega del activo con la solicitud WO0000000311476.</t>
        </is>
      </c>
      <c r="G32" s="2" t="inlineStr">
        <is>
          <t>SERVICIOS DE TECNOLOGIA-ACTIVOS FIJOS TECNOLOGIA-ADQUISICION PARTES SIN GARANTIA</t>
        </is>
      </c>
      <c r="H32" s="2" t="inlineStr">
        <is>
          <t>Web</t>
        </is>
      </c>
      <c r="I32" s="2" t="inlineStr">
        <is>
          <t>Baja</t>
        </is>
      </c>
      <c r="J32" s="5">
        <v>46226.64166666667</v>
      </c>
      <c r="K32" s="2" t="inlineStr">
        <is>
          <t>ANDERSON JULIAN RATIVA RAMIREZ</t>
        </is>
      </c>
      <c r="L32" s="2" t="inlineStr">
        <is>
          <t>ZONA CENTRO</t>
        </is>
      </c>
      <c r="M32" s="2" t="inlineStr">
        <is>
          <t>SERVICIOS DE TI</t>
        </is>
      </c>
      <c r="N32" s="2"/>
      <c r="O32" s="2" t="inlineStr">
        <is>
          <t>BIENESTAR Y DESARROLLO SOCIAL</t>
        </is>
      </c>
      <c r="P32" s="2"/>
      <c r="Q32" s="2" t="inlineStr">
        <is>
          <t>IDGGSWY0I24JCAT8NJKDT8NJKDU4NJ</t>
        </is>
      </c>
      <c r="R32" s="2" t="inlineStr">
        <is>
          <t>a) 0-4</t>
        </is>
      </c>
      <c r="S32" s="4"/>
      <c r="T32" s="2"/>
      <c r="U32" s="2" t="inlineStr">
        <is>
          <t>-</t>
        </is>
      </c>
      <c r="V32" s="2" t="inlineStr">
        <is>
          <t>24/08/2026 15:24</t>
        </is>
      </c>
    </row>
    <row r="33">
      <c r="A33" s="2" t="inlineStr">
        <is>
          <t>🟢</t>
        </is>
      </c>
      <c r="B33" s="3" t="str">
        <f>HYPERLINK("https://compensar-smartit.onbmc.com/smartit/app/#/workorder/AGGIBMZTENYZ6AT8NJ2GT8NJ2GI30P","WO0000000311525")</f>
        <v>WO0000000311525</v>
      </c>
      <c r="C33" s="2" t="inlineStr">
        <is>
          <t>No</t>
        </is>
      </c>
      <c r="D33" s="2" t="inlineStr">
        <is>
          <t>BF Aplicación de Usuario Final</t>
        </is>
      </c>
      <c r="E33" s="2" t="inlineStr">
        <is>
          <t>Asignado</t>
        </is>
      </c>
      <c r="F33" s="2" t="inlineStr">
        <is>
          <t>Ubicación para atención del Servicio: BLOQUE F TORRE F PISO 2 MERCADEO
Número de contacto para la atención del servicio: 3004819609
Frente: BIENESTAR Y DESARROLLO SOCIAL
Titulo: instalación de zeus
Descripción: instalación de Zeus para el señor Arbey Fabian Pachon Alarcón, número telefónico: 3103221655, correo electronico:AFPACHONA@compensar.com
Tipo de Servicio: INSTALAR DESINSTALAR APLICACION
Aplicación: SWEX36-ZEUS
</t>
        </is>
      </c>
      <c r="G33" s="2" t="inlineStr">
        <is>
          <t>SERVICIOS DE TECNOLOGIA-GESTION DE APLICACIONES-INSTALAR DESINSTALAR APLICACION</t>
        </is>
      </c>
      <c r="H33" s="2" t="inlineStr">
        <is>
          <t>Web</t>
        </is>
      </c>
      <c r="I33" s="2" t="inlineStr">
        <is>
          <t>Baja</t>
        </is>
      </c>
      <c r="J33" s="5">
        <v>46226.63125</v>
      </c>
      <c r="K33" s="2" t="inlineStr">
        <is>
          <t>KEVIN ALEXIS GARCIA GUARACA</t>
        </is>
      </c>
      <c r="L33" s="2" t="inlineStr">
        <is>
          <t>ZONA CENTRO</t>
        </is>
      </c>
      <c r="M33" s="2" t="inlineStr">
        <is>
          <t>SERVICIOS DE TI</t>
        </is>
      </c>
      <c r="N33" s="2"/>
      <c r="O33" s="2" t="inlineStr">
        <is>
          <t>BIENESTAR Y DESARROLLO SOCIAL</t>
        </is>
      </c>
      <c r="P33" s="2"/>
      <c r="Q33" s="2" t="inlineStr">
        <is>
          <t>AGGIBMZTENYZ6AT8NJ2GT8NJ2GI30P</t>
        </is>
      </c>
      <c r="R33" s="2" t="inlineStr">
        <is>
          <t>a) 0-4</t>
        </is>
      </c>
      <c r="S33" s="4"/>
      <c r="T33" s="2" t="inlineStr">
        <is>
          <t>CAJA DE COMPENSACION</t>
        </is>
      </c>
      <c r="U33" s="2" t="inlineStr">
        <is>
          <t>-</t>
        </is>
      </c>
      <c r="V33" s="2" t="inlineStr">
        <is>
          <t>28/07/2026 15:09</t>
        </is>
      </c>
    </row>
    <row r="34">
      <c r="A34" s="2" t="inlineStr">
        <is>
          <t>🟢</t>
        </is>
      </c>
      <c r="B34" s="3" t="str">
        <f>HYPERLINK("https://compensar-smartit.onbmc.com/smartit/app/#/workorder/AGGIBMZTENYZ6AT8N19FT8N19F2CJ5","WO0000000311546")</f>
        <v>WO0000000311546</v>
      </c>
      <c r="C34" s="2" t="inlineStr">
        <is>
          <t>No</t>
        </is>
      </c>
      <c r="D34" s="2" t="inlineStr">
        <is>
          <t>BF Aplicación de Usuario Final</t>
        </is>
      </c>
      <c r="E34" s="2" t="inlineStr">
        <is>
          <t>Asignado</t>
        </is>
      </c>
      <c r="F34" s="2" t="inlineStr">
        <is>
          <t>Ubicación para atención del Servicio: BLOQUE F TORRE F PISO 2 MERCADEO
Número de contacto para la atención del servicio: 3004819609
Frente: BIENESTAR Y DESARROLLO SOCIAL
Titulo: instalación de Zeus
Descripción: instalación de Zeus para la señorita Deisy Valentina Aldana Quijano, su número: 3502672857, su correo es:DVALDANAQ@compensar.com
Tipo de Servicio: INSTALAR DESINSTALAR APLICACION
Aplicación: SWEX36-ZEUS
</t>
        </is>
      </c>
      <c r="G34" s="2" t="inlineStr">
        <is>
          <t>SERVICIOS DE TECNOLOGIA-GESTION DE APLICACIONES-INSTALAR DESINSTALAR APLICACION</t>
        </is>
      </c>
      <c r="H34" s="2" t="inlineStr">
        <is>
          <t>Web</t>
        </is>
      </c>
      <c r="I34" s="2" t="inlineStr">
        <is>
          <t>Baja</t>
        </is>
      </c>
      <c r="J34" s="5">
        <v>46226.66458333333</v>
      </c>
      <c r="K34" s="2" t="inlineStr">
        <is>
          <t>KEVIN ALEXIS GARCIA GUARACA</t>
        </is>
      </c>
      <c r="L34" s="2" t="inlineStr">
        <is>
          <t>ZONA CENTRO</t>
        </is>
      </c>
      <c r="M34" s="2" t="inlineStr">
        <is>
          <t>SERVICIOS DE TI</t>
        </is>
      </c>
      <c r="N34" s="2"/>
      <c r="O34" s="2" t="inlineStr">
        <is>
          <t>BIENESTAR Y DESARROLLO SOCIAL</t>
        </is>
      </c>
      <c r="P34" s="2"/>
      <c r="Q34" s="2" t="inlineStr">
        <is>
          <t>AGGIBMZTENYZ6AT8N19FT8N19F2CJ5</t>
        </is>
      </c>
      <c r="R34" s="2" t="inlineStr">
        <is>
          <t>a) 0-4</t>
        </is>
      </c>
      <c r="S34" s="4"/>
      <c r="T34" s="2" t="inlineStr">
        <is>
          <t>CAJA DE COMPENSACION</t>
        </is>
      </c>
      <c r="U34" s="2" t="inlineStr">
        <is>
          <t>-</t>
        </is>
      </c>
      <c r="V34" s="2" t="inlineStr">
        <is>
          <t>28/07/2026 15:57</t>
        </is>
      </c>
    </row>
    <row r="35">
      <c r="A35" s="2" t="inlineStr">
        <is>
          <t>🟢</t>
        </is>
      </c>
      <c r="B35" s="3" t="str">
        <f>HYPERLINK("https://compensar-smartit.onbmc.com/smartit/app/#/workorder/AGGIBMZTENYZ6AT8N4GKT8N4GK4SQ7","WO0000000311566")</f>
        <v>WO0000000311566</v>
      </c>
      <c r="C35" s="2" t="inlineStr">
        <is>
          <t>No</t>
        </is>
      </c>
      <c r="D35" s="2" t="inlineStr">
        <is>
          <t>BF: Aplicación de Usuario Final</t>
        </is>
      </c>
      <c r="E35" s="2" t="inlineStr">
        <is>
          <t>Asignado</t>
        </is>
      </c>
      <c r="F35" s="2" t="inlineStr">
        <is>
          <t>Ubicación para atención del Servicio: BLOQUE F TORRE F PISO 2 MERCADEO
Número de contacto para la atención del servicio: 3004819609
Frente: BIENESTAR Y DESARROLLO SOCIAL
Titulo: instalación de Zeus
Descripción: instalación de Zeus para la señorita Laura Valentina Martínez Martínez,  su número de contacto es: 3150447117, su correo es:LVMARTINEZM@compensar.com
Tipo de Servicio: INSTALAR DESINSTALAR APLICACION
Aplicación: SWEX36-ZEUS
</t>
        </is>
      </c>
      <c r="G35" s="2" t="inlineStr">
        <is>
          <t>SERVICIOS DE TECNOLOGIA-GESTION DE APLICACIONES-INSTALAR DESINSTALAR APLICACION</t>
        </is>
      </c>
      <c r="H35" s="2" t="inlineStr">
        <is>
          <t>Web</t>
        </is>
      </c>
      <c r="I35" s="2" t="inlineStr">
        <is>
          <t>Baja</t>
        </is>
      </c>
      <c r="J35" s="5">
        <v>46226.70416666667</v>
      </c>
      <c r="K35" s="2" t="inlineStr">
        <is>
          <t>KEVIN ALEXIS GARCIA GUARACA</t>
        </is>
      </c>
      <c r="L35" s="2" t="inlineStr">
        <is>
          <t>ZONA CENTRO</t>
        </is>
      </c>
      <c r="M35" s="2" t="inlineStr">
        <is>
          <t>SERVICIOS DE TI</t>
        </is>
      </c>
      <c r="N35" s="2"/>
      <c r="O35" s="2" t="inlineStr">
        <is>
          <t>BIENESTAR Y DESARROLLO SOCIAL</t>
        </is>
      </c>
      <c r="P35" s="2"/>
      <c r="Q35" s="2" t="inlineStr">
        <is>
          <t>AGGIBMZTENYZ6AT8N4GKT8N4GK4SQ7</t>
        </is>
      </c>
      <c r="R35" s="2" t="inlineStr">
        <is>
          <t>a) 0-4</t>
        </is>
      </c>
      <c r="S35" s="4"/>
      <c r="T35" s="2" t="inlineStr">
        <is>
          <t>CAJA DE COMPENSACION</t>
        </is>
      </c>
      <c r="U35" s="2" t="inlineStr">
        <is>
          <t>-</t>
        </is>
      </c>
      <c r="V35" s="2" t="inlineStr">
        <is>
          <t>28/07/2026 16:54</t>
        </is>
      </c>
    </row>
    <row r="36">
      <c r="A36" s="2" t="inlineStr">
        <is>
          <t>🟢</t>
        </is>
      </c>
      <c r="B36" s="3" t="str">
        <f>HYPERLINK("https://compensar-smartit.onbmc.com/smartit/app/#/workorder/IDGIBMZTENYZ6AT8N527T8N5276B4O","WO0000000311573")</f>
        <v>WO0000000311573</v>
      </c>
      <c r="C36" s="2" t="inlineStr">
        <is>
          <t>No</t>
        </is>
      </c>
      <c r="D36" s="2" t="inlineStr">
        <is>
          <t>error al momento de ingresar a 365</t>
        </is>
      </c>
      <c r="E36" s="2" t="inlineStr">
        <is>
          <t>En curso</t>
        </is>
      </c>
      <c r="F36" s="2" t="inlineStr">
        <is>
          <t>Usuario :ROGER EDUARDO CASALLAS ARIZA
CC: 1019015152
Teléfono: 3508329923  
Informa: error al momento de ingresar a 365 
Ubicación: cra 69 torre c piso 1
Tiempo: 5:20 p. m. 23/07/2026Impacto: 1
Evidencias:</t>
        </is>
      </c>
      <c r="G36" s="2" t="inlineStr">
        <is>
          <t>SERVICIOS DE TECNOLOGIA-PLATAFORMA TI-OFFICE 365 CONFIGURACIONES Y GENERALES DE BUZONES</t>
        </is>
      </c>
      <c r="H36" s="2" t="inlineStr">
        <is>
          <t>Telefono</t>
        </is>
      </c>
      <c r="I36" s="2" t="inlineStr">
        <is>
          <t>Baja</t>
        </is>
      </c>
      <c r="J36" s="5">
        <v>46226.72638888889</v>
      </c>
      <c r="K36" s="2" t="inlineStr">
        <is>
          <t>JUAN CAMILO RINCON BLANCO</t>
        </is>
      </c>
      <c r="L36" s="2" t="inlineStr">
        <is>
          <t>SPT CABECERA CARRERA 69</t>
        </is>
      </c>
      <c r="M36" s="2" t="inlineStr">
        <is>
          <t>SERVICIOS DE TI</t>
        </is>
      </c>
      <c r="N36" s="2"/>
      <c r="O36" s="2" t="inlineStr">
        <is>
          <t>BIENESTAR Y DESARROLLO SOCIAL</t>
        </is>
      </c>
      <c r="P36" s="2"/>
      <c r="Q36" s="2" t="inlineStr">
        <is>
          <t>IDGIBMZTENYZ6AT8N527T8N5276B4O</t>
        </is>
      </c>
      <c r="R36" s="2" t="inlineStr">
        <is>
          <t>a) 0-4</t>
        </is>
      </c>
      <c r="S36" s="4"/>
      <c r="T36" s="2"/>
      <c r="U36" s="2" t="inlineStr">
        <is>
          <t>-</t>
        </is>
      </c>
      <c r="V36" s="2" t="inlineStr">
        <is>
          <t>29/07/2026 08:00</t>
        </is>
      </c>
    </row>
    <row r="37">
      <c r="A37" s="2" t="inlineStr">
        <is>
          <t>🟢</t>
        </is>
      </c>
      <c r="B37" s="3" t="str">
        <f>HYPERLINK("https://compensar-smartit.onbmc.com/smartit/app/#/workorder/AGGIBMZTENYZ6AT8NMB9T8NMB99SFF","WO0000000311586")</f>
        <v>WO0000000311586</v>
      </c>
      <c r="C37" s="2" t="inlineStr">
        <is>
          <t>No</t>
        </is>
      </c>
      <c r="D37" s="2" t="inlineStr">
        <is>
          <t>Asesoría, Acompañamiento, Actividades en Sitio y Entrega de Informes</t>
        </is>
      </c>
      <c r="E37" s="2" t="inlineStr">
        <is>
          <t>En curso</t>
        </is>
      </c>
      <c r="F37" s="2" t="inlineStr">
        <is>
          <t>Ubicación para atención del Servicio: CRA 60 PISO 1 ASCENSORES
Número de contacto para la atención del servicio: 3102944825
Frente: CORPORATIVO
Titulo: Levantamiento de información KRA 60
Descripción: Cordial Saludo, 
Agradezco el apoyo del equipo de Soporte al Puesto de Trabajo para realizar el levantamiento de información de las tabletas ubicadas en la sede Carrera 60. Se requiere que el reporte incluya, como mínimo, los siguientes datos:
Marca
Modelo
Número de serie
Inventario o placa de activo
Área de uso
Nombre del colaborador responsable o usuario asignado
Esta solicitud se realiza debido a las novedades que se han venido presentando en la conectividad de estos dispositivos. Contar con información actualizada y precisa permitirá validar su estado actual, identificar posibles causas asociadas a las incidencias reportadas y confirmar la cantidad exacta de tabletas disponibles en la sede.
Tipo de Servicio: ACOMPAÑAMIENTO / EJECUCION DE ACTIVIDAD EN SITIO
Grupo Requerido: ZONA CENTRO
Fecha requerida para la actividad: 2026-07-24
Duración de la actividad en minutos: 60
</t>
        </is>
      </c>
      <c r="G37" s="2" t="inlineStr">
        <is>
          <t>SERVICIOS DE TECNOLOGIA-ASESORIA/ACOMPANAMIENTO/ACTIVIDADES-ACOMPAÑAMIENTO / EJECUCION DE ACTIVIDAD EN SITIO</t>
        </is>
      </c>
      <c r="H37" s="2" t="inlineStr">
        <is>
          <t>Web</t>
        </is>
      </c>
      <c r="I37" s="2" t="inlineStr">
        <is>
          <t>Baja</t>
        </is>
      </c>
      <c r="J37" s="5">
        <v>46226.822222222225</v>
      </c>
      <c r="K37" s="2" t="inlineStr">
        <is>
          <t>DANIEL ALEJANDRO BORDA MESTIZO</t>
        </is>
      </c>
      <c r="L37" s="2" t="inlineStr">
        <is>
          <t>SPT CABECERA CARRERA 60</t>
        </is>
      </c>
      <c r="M37" s="2" t="inlineStr">
        <is>
          <t>SERVICIOS DE TI</t>
        </is>
      </c>
      <c r="N37" s="2"/>
      <c r="O37" s="2" t="inlineStr">
        <is>
          <t>CORPORATIVO</t>
        </is>
      </c>
      <c r="P37" s="2"/>
      <c r="Q37" s="2" t="inlineStr">
        <is>
          <t>AGGIBMZTENYZ6AT8NMB9T8NMB99SFF</t>
        </is>
      </c>
      <c r="R37" s="2" t="inlineStr">
        <is>
          <t>a) 0-4</t>
        </is>
      </c>
      <c r="S37" s="4"/>
      <c r="T37" s="2" t="inlineStr">
        <is>
          <t>CAJA DE COMPENSACION</t>
        </is>
      </c>
      <c r="U37" s="2" t="inlineStr">
        <is>
          <t>-</t>
        </is>
      </c>
      <c r="V37" s="2" t="inlineStr">
        <is>
          <t>29/07/2026 08:00</t>
        </is>
      </c>
    </row>
    <row r="38">
      <c r="A38" s="2" t="inlineStr">
        <is>
          <t>🟢</t>
        </is>
      </c>
      <c r="B38" s="3" t="str">
        <f>HYPERLINK("https://compensar-smartit.onbmc.com/smartit/app/#/workorder/AGGGSWY0I24JCAT8N24KT8N24KZKXO","WO0000000311612")</f>
        <v>WO0000000311612</v>
      </c>
      <c r="C38" s="2" t="inlineStr">
        <is>
          <t>No</t>
        </is>
      </c>
      <c r="D38" s="2" t="inlineStr">
        <is>
          <t>BF Aplicación de Usuario Final</t>
        </is>
      </c>
      <c r="E38" s="2" t="inlineStr">
        <is>
          <t>Asignado</t>
        </is>
      </c>
      <c r="F38" s="2" t="inlineStr">
        <is>
          <t>Ubicación para atención del Servicio: BLOQUE F TORRE F PISO 2 MERCADEO
Número de contacto para la atención del servicio: 3004819609
Frente: BIENESTAR Y DESARROLLO SOCIAL
Titulo: instalación de Zeus
Descripción: instalación de Zeus para la señorita Gloria Yazmin Bernal Ibarra, su contacto es: 3133779332, su correo es el siguiente: GYBERNALIB@compensar.com
Tipo de Servicio: INSTALAR DESINSTALAR APLICACION
Aplicación: SWEX36-ZEUS
</t>
        </is>
      </c>
      <c r="G38" s="2" t="inlineStr">
        <is>
          <t>SERVICIOS DE TECNOLOGIA-GESTION DE APLICACIONES-INSTALAR DESINSTALAR APLICACION</t>
        </is>
      </c>
      <c r="H38" s="2" t="inlineStr">
        <is>
          <t>Web</t>
        </is>
      </c>
      <c r="I38" s="2" t="inlineStr">
        <is>
          <t>Baja</t>
        </is>
      </c>
      <c r="J38" s="5">
        <v>46226.677083333336</v>
      </c>
      <c r="K38" s="2" t="inlineStr">
        <is>
          <t>KEVIN ALEXIS GARCIA GUARACA</t>
        </is>
      </c>
      <c r="L38" s="2" t="inlineStr">
        <is>
          <t>ZONA CENTRO</t>
        </is>
      </c>
      <c r="M38" s="2" t="inlineStr">
        <is>
          <t>SERVICIOS DE TI</t>
        </is>
      </c>
      <c r="N38" s="2"/>
      <c r="O38" s="2" t="inlineStr">
        <is>
          <t>BIENESTAR Y DESARROLLO SOCIAL</t>
        </is>
      </c>
      <c r="P38" s="2"/>
      <c r="Q38" s="2" t="inlineStr">
        <is>
          <t>AGGGSWY0I24JCAT8N24KT8N24KZKXO</t>
        </is>
      </c>
      <c r="R38" s="2" t="inlineStr">
        <is>
          <t>a) 0-4</t>
        </is>
      </c>
      <c r="S38" s="4"/>
      <c r="T38" s="2" t="inlineStr">
        <is>
          <t>CAJA DE COMPENSACION</t>
        </is>
      </c>
      <c r="U38" s="2" t="inlineStr">
        <is>
          <t>-</t>
        </is>
      </c>
      <c r="V38" s="2" t="inlineStr">
        <is>
          <t>28/07/2026 16:15</t>
        </is>
      </c>
    </row>
    <row r="39">
      <c r="A39" s="2" t="inlineStr">
        <is>
          <t>🟢</t>
        </is>
      </c>
      <c r="B39" s="3" t="str">
        <f>HYPERLINK("https://compensar-smartit.onbmc.com/smartit/app/#/workorder/AGGGSWY0I24JCAT8N2YBT8N2YBALBE","WO0000000311616")</f>
        <v>WO0000000311616</v>
      </c>
      <c r="C39" s="2" t="inlineStr">
        <is>
          <t>No</t>
        </is>
      </c>
      <c r="D39" s="2" t="inlineStr">
        <is>
          <t>BF Aplicación de Usuario Final</t>
        </is>
      </c>
      <c r="E39" s="2" t="inlineStr">
        <is>
          <t>Asignado</t>
        </is>
      </c>
      <c r="F39" s="2" t="inlineStr">
        <is>
          <t>Ubicación para atención del Servicio: BLOQUE F TORRE F PISO 2 MERCADEO
Número de contacto para la atención del servicio: 3004819609
Frente: BIENESTAR Y DESARROLLO SOCIAL
Titulo: instalación de Zeus
Descripción: instalación de Zeus para la señorita Hasbleidy Nayibe Ramírez Cetina, su número de contacto es: 3229342140, su correo es:HNRAMIREZC@compensar.com
Tipo de Servicio: INSTALAR DESINSTALAR APLICACION
Aplicación: SWEX36-ZEUS
</t>
        </is>
      </c>
      <c r="G39" s="2" t="inlineStr">
        <is>
          <t>SERVICIOS DE TECNOLOGIA-GESTION DE APLICACIONES-INSTALAR DESINSTALAR APLICACION</t>
        </is>
      </c>
      <c r="H39" s="2" t="inlineStr">
        <is>
          <t>Web</t>
        </is>
      </c>
      <c r="I39" s="2" t="inlineStr">
        <is>
          <t>Baja</t>
        </is>
      </c>
      <c r="J39" s="5">
        <v>46226.68541666667</v>
      </c>
      <c r="K39" s="2" t="inlineStr">
        <is>
          <t>KEVIN ALEXIS GARCIA GUARACA</t>
        </is>
      </c>
      <c r="L39" s="2" t="inlineStr">
        <is>
          <t>ZONA CENTRO</t>
        </is>
      </c>
      <c r="M39" s="2" t="inlineStr">
        <is>
          <t>SERVICIOS DE TI</t>
        </is>
      </c>
      <c r="N39" s="2"/>
      <c r="O39" s="2" t="inlineStr">
        <is>
          <t>BIENESTAR Y DESARROLLO SOCIAL</t>
        </is>
      </c>
      <c r="P39" s="2"/>
      <c r="Q39" s="2" t="inlineStr">
        <is>
          <t>AGGGSWY0I24JCAT8N2YBT8N2YBALBE</t>
        </is>
      </c>
      <c r="R39" s="2" t="inlineStr">
        <is>
          <t>a) 0-4</t>
        </is>
      </c>
      <c r="S39" s="4"/>
      <c r="T39" s="2" t="inlineStr">
        <is>
          <t>CAJA DE COMPENSACION</t>
        </is>
      </c>
      <c r="U39" s="2" t="inlineStr">
        <is>
          <t>-</t>
        </is>
      </c>
      <c r="V39" s="2" t="inlineStr">
        <is>
          <t>28/07/2026 16:27</t>
        </is>
      </c>
    </row>
    <row r="40">
      <c r="A40" s="2" t="inlineStr">
        <is>
          <t>🟢</t>
        </is>
      </c>
      <c r="B40" s="3" t="str">
        <f>HYPERLINK("https://compensar-smartit.onbmc.com/smartit/app/#/workorder/AGGGSWY0I24JCAT8N3LZT8N3LZB9DQ","WO0000000311619")</f>
        <v>WO0000000311619</v>
      </c>
      <c r="C40" s="2" t="inlineStr">
        <is>
          <t>No</t>
        </is>
      </c>
      <c r="D40" s="2" t="inlineStr">
        <is>
          <t>BF Aplicación de Usuario Final</t>
        </is>
      </c>
      <c r="E40" s="2" t="inlineStr">
        <is>
          <t>Asignado</t>
        </is>
      </c>
      <c r="F40" s="2" t="inlineStr">
        <is>
          <t>Ubicación para atención del Servicio: BLOQUE F TORRE F PISO 2 MERCADEO
Número de contacto para la atención del servicio: 3004819609
Frente: BIENESTAR Y DESARROLLO SOCIAL
Titulo: instalación de Zeus
Descripción: instalación de Zeus para la señorita Jenny Alexandra Rodríguez Cortes, su número de contacto es: 3112460018, su correo es: ARODRIGUEZC@compensar.com
Tipo de Servicio: INSTALAR DESINSTALAR APLICACION
Aplicación: SWEX36-ZEUS
</t>
        </is>
      </c>
      <c r="G40" s="2" t="inlineStr">
        <is>
          <t>SERVICIOS DE TECNOLOGIA-GESTION DE APLICACIONES-INSTALAR DESINSTALAR APLICACION</t>
        </is>
      </c>
      <c r="H40" s="2" t="inlineStr">
        <is>
          <t>Web</t>
        </is>
      </c>
      <c r="I40" s="2" t="inlineStr">
        <is>
          <t>Baja</t>
        </is>
      </c>
      <c r="J40" s="5">
        <v>46226.69513888889</v>
      </c>
      <c r="K40" s="2" t="inlineStr">
        <is>
          <t>KEVIN ALEXIS GARCIA GUARACA</t>
        </is>
      </c>
      <c r="L40" s="2" t="inlineStr">
        <is>
          <t>ZONA CENTRO</t>
        </is>
      </c>
      <c r="M40" s="2" t="inlineStr">
        <is>
          <t>SERVICIOS DE TI</t>
        </is>
      </c>
      <c r="N40" s="2"/>
      <c r="O40" s="2" t="inlineStr">
        <is>
          <t>BIENESTAR Y DESARROLLO SOCIAL</t>
        </is>
      </c>
      <c r="P40" s="2"/>
      <c r="Q40" s="2" t="inlineStr">
        <is>
          <t>AGGGSWY0I24JCAT8N3LZT8N3LZB9DQ</t>
        </is>
      </c>
      <c r="R40" s="2" t="inlineStr">
        <is>
          <t>a) 0-4</t>
        </is>
      </c>
      <c r="S40" s="4"/>
      <c r="T40" s="2" t="inlineStr">
        <is>
          <t>CAJA DE COMPENSACION</t>
        </is>
      </c>
      <c r="U40" s="2" t="inlineStr">
        <is>
          <t>-</t>
        </is>
      </c>
      <c r="V40" s="2" t="inlineStr">
        <is>
          <t>28/07/2026 16:41</t>
        </is>
      </c>
    </row>
    <row r="41">
      <c r="A41" s="2" t="inlineStr">
        <is>
          <t>🟢</t>
        </is>
      </c>
      <c r="B41" s="3" t="str">
        <f>HYPERLINK("https://compensar-smartit.onbmc.com/smartit/app/#/workorder/IDGGSWY0I24JCAT8O6INT8O6IN9CN2","WO0000000311659")</f>
        <v>WO0000000311659</v>
      </c>
      <c r="C41" s="2" t="inlineStr">
        <is>
          <t>No</t>
        </is>
      </c>
      <c r="D41" s="2" t="inlineStr">
        <is>
          <t>Revisión Equipos de Teletrabajo</t>
        </is>
      </c>
      <c r="E41" s="2" t="inlineStr">
        <is>
          <t>En curso</t>
        </is>
      </c>
      <c r="F41" s="2" t="inlineStr">
        <is>
          <t>buen día
Por favor escalar caso a FABIAN JESSID PASTRANA AGUIRRE, SPT CABECERA CARRERA 69 para realizar la actividad indicada en la siguiente maquina C008815.
Por favor realizar nivelación en programas que no se tiene, Eliminar temporales, liberar espacio en disco (Eliminar actualizaciones) y actualizar software, verificar periféricos y al mismo tiempo validar que cuenta con los programas:
Windows app
Zabbix
Gracias.</t>
        </is>
      </c>
      <c r="G41" s="2" t="inlineStr">
        <is>
          <t>SERVICIOS DE TECNOLOGIA-ACOMPANAMIENTO-EJECUCION DE ACTIVIDADES EN SITIO</t>
        </is>
      </c>
      <c r="H41" s="2" t="inlineStr">
        <is>
          <t>Web</t>
        </is>
      </c>
      <c r="I41" s="2" t="inlineStr">
        <is>
          <t>Baja</t>
        </is>
      </c>
      <c r="J41" s="5">
        <v>46227.277083333334</v>
      </c>
      <c r="K41" s="2" t="inlineStr">
        <is>
          <t>FABIAN JESSID PASTRANA AGUIRRE</t>
        </is>
      </c>
      <c r="L41" s="2" t="inlineStr">
        <is>
          <t>SPT CABECERA CARRERA 69</t>
        </is>
      </c>
      <c r="M41" s="2" t="inlineStr">
        <is>
          <t>SERVICIOS DE TI</t>
        </is>
      </c>
      <c r="N41" s="2" t="inlineStr">
        <is>
          <t>C008815</t>
        </is>
      </c>
      <c r="O41" s="2" t="inlineStr">
        <is>
          <t>SALUD</t>
        </is>
      </c>
      <c r="P41" s="2"/>
      <c r="Q41" s="2" t="inlineStr">
        <is>
          <t>IDGGSWY0I24JCAT8O6INT8O6IN9CN2</t>
        </is>
      </c>
      <c r="R41" s="2" t="inlineStr">
        <is>
          <t>a) 0-4</t>
        </is>
      </c>
      <c r="S41" s="4"/>
      <c r="T41" s="2" t="inlineStr">
        <is>
          <t>SALUD</t>
        </is>
      </c>
      <c r="U41" s="2" t="inlineStr">
        <is>
          <t>-</t>
        </is>
      </c>
      <c r="V41" s="2" t="inlineStr">
        <is>
          <t>29/07/2026 08:00</t>
        </is>
      </c>
    </row>
    <row r="42">
      <c r="A42" s="2" t="inlineStr">
        <is>
          <t>🟢</t>
        </is>
      </c>
      <c r="B42" s="3" t="str">
        <f>HYPERLINK("https://compensar-smartit.onbmc.com/smartit/app/#/workorder/IDGGSWY0I24JCAT8O6OQT8O6OQ90FI","WO0000000311662")</f>
        <v>WO0000000311662</v>
      </c>
      <c r="C42" s="2" t="inlineStr">
        <is>
          <t>No</t>
        </is>
      </c>
      <c r="D42" s="2" t="inlineStr">
        <is>
          <t>Revisión Equipos de Teletrabajo</t>
        </is>
      </c>
      <c r="E42" s="2" t="inlineStr">
        <is>
          <t>En curso</t>
        </is>
      </c>
      <c r="F42" s="2" t="inlineStr">
        <is>
          <t>buen día
Por favor escalar caso a FABIAN JESSID PASTRANA AGUIRRE, SPT CABECERA CARRERA 69 para realizar la actividad indicada en la siguiente maquina C008843.
Por favor realizar nivelación en programas que no se tiene, Eliminar temporales, liberar espacio en disco (Eliminar actualizaciones) y actualizar software, verificar periféricos y al mismo tiempo validar que cuenta con los programas:
Windows app
Zabbix
Gracias.</t>
        </is>
      </c>
      <c r="G42" s="2" t="inlineStr">
        <is>
          <t>SERVICIOS DE TECNOLOGIA-ACOMPANAMIENTO-EJECUCION DE ACTIVIDADES EN SITIO</t>
        </is>
      </c>
      <c r="H42" s="2" t="inlineStr">
        <is>
          <t>Web</t>
        </is>
      </c>
      <c r="I42" s="2" t="inlineStr">
        <is>
          <t>Baja</t>
        </is>
      </c>
      <c r="J42" s="5">
        <v>46227.282638888886</v>
      </c>
      <c r="K42" s="2" t="inlineStr">
        <is>
          <t>FABIAN JESSID PASTRANA AGUIRRE</t>
        </is>
      </c>
      <c r="L42" s="2" t="inlineStr">
        <is>
          <t>SPT CABECERA CARRERA 69</t>
        </is>
      </c>
      <c r="M42" s="2" t="inlineStr">
        <is>
          <t>SERVICIOS DE TI</t>
        </is>
      </c>
      <c r="N42" s="2" t="inlineStr">
        <is>
          <t>C008843</t>
        </is>
      </c>
      <c r="O42" s="2" t="inlineStr">
        <is>
          <t>SALUD</t>
        </is>
      </c>
      <c r="P42" s="2"/>
      <c r="Q42" s="2" t="inlineStr">
        <is>
          <t>IDGGSWY0I24JCAT8O6OQT8O6OQ90FI</t>
        </is>
      </c>
      <c r="R42" s="2" t="inlineStr">
        <is>
          <t>a) 0-4</t>
        </is>
      </c>
      <c r="S42" s="4"/>
      <c r="T42" s="2" t="inlineStr">
        <is>
          <t>SALUD</t>
        </is>
      </c>
      <c r="U42" s="2" t="inlineStr">
        <is>
          <t>-</t>
        </is>
      </c>
      <c r="V42" s="2" t="inlineStr">
        <is>
          <t>29/07/2026 08:00</t>
        </is>
      </c>
    </row>
    <row r="43">
      <c r="A43" s="2" t="inlineStr">
        <is>
          <t>🟢</t>
        </is>
      </c>
      <c r="B43" s="3" t="str">
        <f>HYPERLINK("https://compensar-smartit.onbmc.com/smartit/app/#/workorder/IDGGSWY0I24JCAT8O78VT8O78V9R9V","WO0000000311667")</f>
        <v>WO0000000311667</v>
      </c>
      <c r="C43" s="2" t="inlineStr">
        <is>
          <t>No</t>
        </is>
      </c>
      <c r="D43" s="2" t="inlineStr">
        <is>
          <t>Revisión Equipos de Teletrabajo</t>
        </is>
      </c>
      <c r="E43" s="2" t="inlineStr">
        <is>
          <t>En curso</t>
        </is>
      </c>
      <c r="F43" s="2" t="inlineStr">
        <is>
          <t>buen día
Por favor escalar caso a FABIAN JESSID PASTRANA AGUIRRE, SPT CABECERA CARRERA 69 para realizar la actividad indicada en la siguiente maquina C008506.
Por favor realizar nivelación en programas que no se tiene, Eliminar temporales, liberar espacio en disco (Eliminar actualizaciones) y actualizar software, verificar periféricos y al mismo tiempo validar que cuenta con los programas:
Windows app
Zabbix
Gracias.</t>
        </is>
      </c>
      <c r="G43" s="2" t="inlineStr">
        <is>
          <t>SERVICIOS DE TECNOLOGIA-ACOMPANAMIENTO-EJECUCION DE ACTIVIDADES EN SITIO</t>
        </is>
      </c>
      <c r="H43" s="2" t="inlineStr">
        <is>
          <t>Web</t>
        </is>
      </c>
      <c r="I43" s="2" t="inlineStr">
        <is>
          <t>Baja</t>
        </is>
      </c>
      <c r="J43" s="5">
        <v>46227.29513888889</v>
      </c>
      <c r="K43" s="2" t="inlineStr">
        <is>
          <t>FABIAN JESSID PASTRANA AGUIRRE</t>
        </is>
      </c>
      <c r="L43" s="2" t="inlineStr">
        <is>
          <t>SPT CABECERA CARRERA 69</t>
        </is>
      </c>
      <c r="M43" s="2" t="inlineStr">
        <is>
          <t>SERVICIOS DE TI</t>
        </is>
      </c>
      <c r="N43" s="2" t="inlineStr">
        <is>
          <t>C008506</t>
        </is>
      </c>
      <c r="O43" s="2" t="inlineStr">
        <is>
          <t>SALUD</t>
        </is>
      </c>
      <c r="P43" s="2"/>
      <c r="Q43" s="2" t="inlineStr">
        <is>
          <t>IDGGSWY0I24JCAT8O78VT8O78V9R9V</t>
        </is>
      </c>
      <c r="R43" s="2" t="inlineStr">
        <is>
          <t>a) 0-4</t>
        </is>
      </c>
      <c r="S43" s="4"/>
      <c r="T43" s="2" t="inlineStr">
        <is>
          <t>SALUD</t>
        </is>
      </c>
      <c r="U43" s="2" t="inlineStr">
        <is>
          <t>-</t>
        </is>
      </c>
      <c r="V43" s="2" t="inlineStr">
        <is>
          <t>29/07/2026 08:00</t>
        </is>
      </c>
    </row>
    <row r="44">
      <c r="A44" s="2" t="inlineStr">
        <is>
          <t>🟢</t>
        </is>
      </c>
      <c r="B44" s="3" t="str">
        <f>HYPERLINK("https://compensar-smartit.onbmc.com/smartit/app/#/workorder/IDGGSWY0I24JCAT8O9R7T8O9R7L6NQ","WO0000000311671")</f>
        <v>WO0000000311671</v>
      </c>
      <c r="C44" s="2" t="inlineStr">
        <is>
          <t>No</t>
        </is>
      </c>
      <c r="D44" s="2" t="inlineStr">
        <is>
          <t>Validación de sonido en equipo</t>
        </is>
      </c>
      <c r="E44" s="2" t="inlineStr">
        <is>
          <t>En curso</t>
        </is>
      </c>
      <c r="F44" s="2" t="inlineStr">
        <is>
          <t>Usuario: FANNY YANNETH CASALLAS NUVAN
Informa: La usuaria se comunica con la Mesa de Servicio indicando que al reproducir sonido en el equipo se escucha ruido de fondo, como si existiera un parlante externo conectado. Se realizan validaciones remotas, evidenciando únicamente el ruido de fondo; sin embargo, no es posible verificar desde Mesa de Servicio los dispositivos conectados físicamente mediante cables. Se requiere revisión del equipo en sitio para validar las conexiones de dispositivos externos.
Ubicación: Calle 42 - Piso 11, Salud Oral
Tiempo: 07:44 24/07/2026
Impacto: Usuarios afectados 1
Placa de equipo: No especificada
Evidencias:
1. Se recibió el reporte relacionado con ruido de fondo en el audio del equipo.
2. Se realizaron validaciones remotas del funcionamiento del sonido.
3. Se evidenció la presencia de ruido de fondo durante la reproducción de audio.
4. Se determinó que no es posible validar de forma remota los dispositivos conectados físicamente mediante cables.
5. Se requirió revisión del equipo en sitio para verificar las conexiones de dispositivos externos.
6. Se registró la cédula de la usuaria: 52271852.
7. Se registró el teléfono de contacto: 3187546461.</t>
        </is>
      </c>
      <c r="G44" s="2" t="inlineStr">
        <is>
          <t>SERVICIOS DE TECNOLOGIA-ACOMPANAMIENTO-EJECUCION DE ACTIVIDADES EN SITIO</t>
        </is>
      </c>
      <c r="H44" s="2" t="inlineStr">
        <is>
          <t>Telefono</t>
        </is>
      </c>
      <c r="I44" s="2" t="inlineStr">
        <is>
          <t>Baja</t>
        </is>
      </c>
      <c r="J44" s="5">
        <v>46227.32916666667</v>
      </c>
      <c r="K44" s="2"/>
      <c r="L44" s="2" t="inlineStr">
        <is>
          <t>SPT CABECERA CALLE 42</t>
        </is>
      </c>
      <c r="M44" s="2" t="inlineStr">
        <is>
          <t>SERVICIOS DE TI</t>
        </is>
      </c>
      <c r="N44" s="2"/>
      <c r="O44" s="2" t="inlineStr">
        <is>
          <t>SALUD</t>
        </is>
      </c>
      <c r="P44" s="2"/>
      <c r="Q44" s="2" t="inlineStr">
        <is>
          <t>IDGGSWY0I24JCAT8O9R7T8O9R7L6NQ</t>
        </is>
      </c>
      <c r="R44" s="2" t="inlineStr">
        <is>
          <t>a) 0-4</t>
        </is>
      </c>
      <c r="S44" s="4"/>
      <c r="T44" s="2"/>
      <c r="U44" s="2" t="inlineStr">
        <is>
          <t>-</t>
        </is>
      </c>
      <c r="V44" s="2" t="inlineStr">
        <is>
          <t>29/07/2026 08:00</t>
        </is>
      </c>
    </row>
    <row r="45">
      <c r="A45" s="2" t="inlineStr">
        <is>
          <t>🟢</t>
        </is>
      </c>
      <c r="B45" s="3" t="str">
        <f>HYPERLINK("https://compensar-smartit.onbmc.com/smartit/app/#/workorder/IDGGSWY0I24JCAT8OKV4T8OKV4MLW5","WO0000000311676")</f>
        <v>WO0000000311676</v>
      </c>
      <c r="C45" s="2" t="inlineStr">
        <is>
          <t>No</t>
        </is>
      </c>
      <c r="D45" s="2" t="inlineStr">
        <is>
          <t>Instalación de MOUSE ALAMBRICO activo C005764 sede ANOLAIMA - WO0000000303738</t>
        </is>
      </c>
      <c r="E45" s="2" t="inlineStr">
        <is>
          <t>Asignado</t>
        </is>
      </c>
      <c r="F45" s="2" t="inlineStr">
        <is>
          <t>Saludos	
Apreciado, reciba un cordial saludo, se aprobó por parte del ADMIN de activos el cambio, bodega enviará y gestionará la logística de despacho de la parte solicitada, por favor realizar entrega e instalación de: MOUSE ALAMBRICO En la sede ANOLAIMA PISO 1 RECEPCION, equipo DELL DELL OPTIPLEX 3060 Con placa C005764, usuaria/o responsable MONICA ALEJANDRA ZULETA BUSTOS. En atención al caso WO0000000303738.	
Se confirma despacho a los siguientes datos
MONICA ALEJANDRA ZULETA BUSTOS
3017471776
MAZULETAB@compensarsalud.com
ANOLAIMA - CUNDINAMARCA
CALLE 3 N 3 - 42 SEDE PISO 1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45" s="2" t="inlineStr">
        <is>
          <t>SERVICIOS DE TECNOLOGIA-ASESORIA/ACOMPANAMIENTO/ACTIVIDADES-EJECUCION DE ACTIVIDADES EN SITIO</t>
        </is>
      </c>
      <c r="H45" s="2" t="inlineStr">
        <is>
          <t>Web</t>
        </is>
      </c>
      <c r="I45" s="2" t="inlineStr">
        <is>
          <t>Baja</t>
        </is>
      </c>
      <c r="J45" s="5">
        <v>46227.34652777778</v>
      </c>
      <c r="K45" s="2" t="inlineStr">
        <is>
          <t>JEISON ANDRES REYES ROMERO</t>
        </is>
      </c>
      <c r="L45" s="2" t="inlineStr">
        <is>
          <t>SPT CABECERA CARRERA 69</t>
        </is>
      </c>
      <c r="M45" s="2" t="inlineStr">
        <is>
          <t>SERVICIOS DE TI</t>
        </is>
      </c>
      <c r="N45" s="2"/>
      <c r="O45" s="2" t="inlineStr">
        <is>
          <t>SALUD</t>
        </is>
      </c>
      <c r="P45" s="2"/>
      <c r="Q45" s="2" t="inlineStr">
        <is>
          <t>IDGGSWY0I24JCAT8OKV4T8OKV4MLW5</t>
        </is>
      </c>
      <c r="R45" s="2" t="inlineStr">
        <is>
          <t>a) 0-4</t>
        </is>
      </c>
      <c r="S45" s="4"/>
      <c r="T45" s="2"/>
      <c r="U45" s="2" t="inlineStr">
        <is>
          <t>-</t>
        </is>
      </c>
      <c r="V45" s="2" t="inlineStr">
        <is>
          <t>29/07/2026 08:19</t>
        </is>
      </c>
    </row>
    <row r="46">
      <c r="A46" s="2" t="inlineStr">
        <is>
          <t>🟢</t>
        </is>
      </c>
      <c r="B46" s="3" t="str">
        <f>HYPERLINK("https://compensar-smartit.onbmc.com/smartit/app/#/workorder/IDGGSWY0I24JCAT8OLF4T8OLF4MXNZ","WO0000000311677")</f>
        <v>WO0000000311677</v>
      </c>
      <c r="C46" s="2" t="inlineStr">
        <is>
          <t>No</t>
        </is>
      </c>
      <c r="D46" s="2" t="inlineStr">
        <is>
          <t>Instalación de DISCO DURO M.2 activo C014765 sede CARRERA 69 - WO0000000306574</t>
        </is>
      </c>
      <c r="E46" s="2" t="inlineStr">
        <is>
          <t>Asignado</t>
        </is>
      </c>
      <c r="F46" s="2" t="inlineStr">
        <is>
          <t>Saludos	
Apreciado, reciba un cordial saludo, se aprobó por parte del ADMIN de activos el cambio, bodega enviará y gestionará la logística de despacho de la parte solicitada, por favor realizar entrega e instalación de: DISCO DURO M.2 En la sede CARRERA 69 TORRE B PISO 4 PUESTO 21, equipo HEWLETT PACKARD HP PRODESK 400 G6 Con placa C014765, usuaria/o responsable LUZ MERY AVILA CASTANEDA. En atención al caso WO0000000306574.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46" s="2" t="inlineStr">
        <is>
          <t>SERVICIOS DE TECNOLOGIA-ASESORIA/ACOMPANAMIENTO/ACTIVIDADES-EJECUCION DE ACTIVIDADES EN SITIO</t>
        </is>
      </c>
      <c r="H46" s="2" t="inlineStr">
        <is>
          <t>Web</t>
        </is>
      </c>
      <c r="I46" s="2" t="inlineStr">
        <is>
          <t>Baja</t>
        </is>
      </c>
      <c r="J46" s="5">
        <v>46227.34930555556</v>
      </c>
      <c r="K46" s="2" t="inlineStr">
        <is>
          <t>IVAN FELIPE GARCIA MANRIQUE</t>
        </is>
      </c>
      <c r="L46" s="2" t="inlineStr">
        <is>
          <t>SPT CABECERA CARRERA 69</t>
        </is>
      </c>
      <c r="M46" s="2" t="inlineStr">
        <is>
          <t>SERVICIOS DE TI</t>
        </is>
      </c>
      <c r="N46" s="2"/>
      <c r="O46" s="2" t="inlineStr">
        <is>
          <t>SALUD</t>
        </is>
      </c>
      <c r="P46" s="2"/>
      <c r="Q46" s="2" t="inlineStr">
        <is>
          <t>IDGGSWY0I24JCAT8OLF4T8OLF4MXNZ</t>
        </is>
      </c>
      <c r="R46" s="2" t="inlineStr">
        <is>
          <t>a) 0-4</t>
        </is>
      </c>
      <c r="S46" s="4"/>
      <c r="T46" s="2"/>
      <c r="U46" s="2" t="inlineStr">
        <is>
          <t>-</t>
        </is>
      </c>
      <c r="V46" s="2" t="inlineStr">
        <is>
          <t>29/07/2026 08:23</t>
        </is>
      </c>
    </row>
    <row r="47">
      <c r="A47" s="2" t="inlineStr">
        <is>
          <t>🟢</t>
        </is>
      </c>
      <c r="B47" s="3" t="str">
        <f>HYPERLINK("https://compensar-smartit.onbmc.com/smartit/app/#/workorder/IDGIBMZTENYZ6AT8O66ST8O66SVHG0","WO0000000311701")</f>
        <v>WO0000000311701</v>
      </c>
      <c r="C47" s="2" t="inlineStr">
        <is>
          <t>No</t>
        </is>
      </c>
      <c r="D47" s="2" t="inlineStr">
        <is>
          <t>Revisión Equipos de Teletrabajo</t>
        </is>
      </c>
      <c r="E47" s="2" t="inlineStr">
        <is>
          <t>En curso</t>
        </is>
      </c>
      <c r="F47" s="2" t="inlineStr">
        <is>
          <t>buen día
Por favor escalar caso a FABIAN JESSID PASTRANA AGUIRRE, SPT CABECERA CARRERA 69 para realizar la actividad indicada en la siguiente maquina C008696.
Por favor realizar nivelación en programas que no se tiene, Eliminar temporales, liberar espacio en disco (Eliminar actualizaciones) y actualizar software, verificar periféricos y al mismo tiempo validar que cuenta con los programas:
Windows app
Zabbix
Gracias.</t>
        </is>
      </c>
      <c r="G47" s="2" t="inlineStr">
        <is>
          <t>SERVICIOS DE TECNOLOGIA-ACOMPANAMIENTO-EJECUCION DE ACTIVIDADES EN SITIO</t>
        </is>
      </c>
      <c r="H47" s="2" t="inlineStr">
        <is>
          <t>Web</t>
        </is>
      </c>
      <c r="I47" s="2" t="inlineStr">
        <is>
          <t>Baja</t>
        </is>
      </c>
      <c r="J47" s="5">
        <v>46227.27916666667</v>
      </c>
      <c r="K47" s="2" t="inlineStr">
        <is>
          <t>FABIAN JESSID PASTRANA AGUIRRE</t>
        </is>
      </c>
      <c r="L47" s="2" t="inlineStr">
        <is>
          <t>SPT CABECERA CARRERA 69</t>
        </is>
      </c>
      <c r="M47" s="2" t="inlineStr">
        <is>
          <t>SERVICIOS DE TI</t>
        </is>
      </c>
      <c r="N47" s="2"/>
      <c r="O47" s="2" t="inlineStr">
        <is>
          <t>SALUD</t>
        </is>
      </c>
      <c r="P47" s="2"/>
      <c r="Q47" s="2" t="inlineStr">
        <is>
          <t>IDGIBMZTENYZ6AT8O66ST8O66SVHG0</t>
        </is>
      </c>
      <c r="R47" s="2" t="inlineStr">
        <is>
          <t>a) 0-4</t>
        </is>
      </c>
      <c r="S47" s="4"/>
      <c r="T47" s="2" t="inlineStr">
        <is>
          <t>SALUD</t>
        </is>
      </c>
      <c r="U47" s="2" t="inlineStr">
        <is>
          <t>-</t>
        </is>
      </c>
      <c r="V47" s="2" t="inlineStr">
        <is>
          <t>29/07/2026 08:00</t>
        </is>
      </c>
    </row>
    <row r="48">
      <c r="A48" s="2" t="inlineStr">
        <is>
          <t>🟢</t>
        </is>
      </c>
      <c r="B48" s="3" t="str">
        <f>HYPERLINK("https://compensar-smartit.onbmc.com/smartit/app/#/workorder/IDGIBMZTENYZ6AT8O6KCT8O6KCVID8","WO0000000311702")</f>
        <v>WO0000000311702</v>
      </c>
      <c r="C48" s="2" t="inlineStr">
        <is>
          <t>No</t>
        </is>
      </c>
      <c r="D48" s="2" t="inlineStr">
        <is>
          <t>Revisión Equipos de Teletrabajo</t>
        </is>
      </c>
      <c r="E48" s="2" t="inlineStr">
        <is>
          <t>En curso</t>
        </is>
      </c>
      <c r="F48" s="2" t="inlineStr">
        <is>
          <t>buen día
Por favor escalar caso a FABIAN JESSID PASTRANA AGUIRRE, SPT CABECERA CARRERA 69 para realizar la actividad indicada en la siguiente maquina C005781.
Por favor realizar nivelación en programas que no se tiene, Eliminar temporales, liberar espacio en disco (Eliminar actualizaciones) y actualizar software, verificar periféricos y al mismo tiempo validar que cuenta con los programas:
Windows app
Zabbix
Gracias.</t>
        </is>
      </c>
      <c r="G48" s="2" t="inlineStr">
        <is>
          <t>SERVICIOS DE TECNOLOGIA-ACOMPANAMIENTO-EJECUCION DE ACTIVIDADES EN SITIO</t>
        </is>
      </c>
      <c r="H48" s="2" t="inlineStr">
        <is>
          <t>Web</t>
        </is>
      </c>
      <c r="I48" s="2" t="inlineStr">
        <is>
          <t>Baja</t>
        </is>
      </c>
      <c r="J48" s="5">
        <v>46227.28055555555</v>
      </c>
      <c r="K48" s="2" t="inlineStr">
        <is>
          <t>FABIAN JESSID PASTRANA AGUIRRE</t>
        </is>
      </c>
      <c r="L48" s="2" t="inlineStr">
        <is>
          <t>SPT CABECERA CARRERA 69</t>
        </is>
      </c>
      <c r="M48" s="2" t="inlineStr">
        <is>
          <t>SERVICIOS DE TI</t>
        </is>
      </c>
      <c r="N48" s="2" t="inlineStr">
        <is>
          <t>C005781</t>
        </is>
      </c>
      <c r="O48" s="2" t="inlineStr">
        <is>
          <t>SALUD</t>
        </is>
      </c>
      <c r="P48" s="2"/>
      <c r="Q48" s="2" t="inlineStr">
        <is>
          <t>IDGIBMZTENYZ6AT8O6KCT8O6KCVID8</t>
        </is>
      </c>
      <c r="R48" s="2" t="inlineStr">
        <is>
          <t>a) 0-4</t>
        </is>
      </c>
      <c r="S48" s="4"/>
      <c r="T48" s="2" t="inlineStr">
        <is>
          <t>SALUD</t>
        </is>
      </c>
      <c r="U48" s="2" t="inlineStr">
        <is>
          <t>-</t>
        </is>
      </c>
      <c r="V48" s="2" t="inlineStr">
        <is>
          <t>29/07/2026 08:00</t>
        </is>
      </c>
    </row>
    <row r="49">
      <c r="A49" s="2" t="inlineStr">
        <is>
          <t>🟢</t>
        </is>
      </c>
      <c r="B49" s="3" t="str">
        <f>HYPERLINK("https://compensar-smartit.onbmc.com/smartit/app/#/workorder/IDGIBMZTENYZ6AT8O6TWT8O6TWV2NT","WO0000000311704")</f>
        <v>WO0000000311704</v>
      </c>
      <c r="C49" s="2" t="inlineStr">
        <is>
          <t>No</t>
        </is>
      </c>
      <c r="D49" s="2" t="inlineStr">
        <is>
          <t>Revisión Equipos de Teletrabajo</t>
        </is>
      </c>
      <c r="E49" s="2" t="inlineStr">
        <is>
          <t>En curso</t>
        </is>
      </c>
      <c r="F49" s="2" t="inlineStr">
        <is>
          <t>buen día
Por favor escalar caso a FABIAN JESSID PASTRANA AGUIRRE, SPT CABECERA CARRERA 69 para realizar la actividad indicada en la siguiente maquina C006501.
Por favor realizar nivelación en programas que no se tiene, Eliminar temporales, liberar espacio en disco (Eliminar actualizaciones) y actualizar software, verificar periféricos y al mismo tiempo validar que cuenta con los programas:
Windows app
Zabbix
Gracias.</t>
        </is>
      </c>
      <c r="G49" s="2" t="inlineStr">
        <is>
          <t>SERVICIOS DE TECNOLOGIA-ACOMPANAMIENTO-EJECUCION DE ACTIVIDADES EN SITIO</t>
        </is>
      </c>
      <c r="H49" s="2" t="inlineStr">
        <is>
          <t>Web</t>
        </is>
      </c>
      <c r="I49" s="2" t="inlineStr">
        <is>
          <t>Baja</t>
        </is>
      </c>
      <c r="J49" s="5">
        <v>46227.28472222222</v>
      </c>
      <c r="K49" s="2" t="inlineStr">
        <is>
          <t>FABIAN JESSID PASTRANA AGUIRRE</t>
        </is>
      </c>
      <c r="L49" s="2" t="inlineStr">
        <is>
          <t>SPT CABECERA CARRERA 69</t>
        </is>
      </c>
      <c r="M49" s="2" t="inlineStr">
        <is>
          <t>SERVICIOS DE TI</t>
        </is>
      </c>
      <c r="N49" s="2" t="inlineStr">
        <is>
          <t>C006501</t>
        </is>
      </c>
      <c r="O49" s="2" t="inlineStr">
        <is>
          <t>SALUD</t>
        </is>
      </c>
      <c r="P49" s="2"/>
      <c r="Q49" s="2" t="inlineStr">
        <is>
          <t>IDGIBMZTENYZ6AT8O6TWT8O6TWV2NT</t>
        </is>
      </c>
      <c r="R49" s="2" t="inlineStr">
        <is>
          <t>a) 0-4</t>
        </is>
      </c>
      <c r="S49" s="4"/>
      <c r="T49" s="2" t="inlineStr">
        <is>
          <t>SALUD</t>
        </is>
      </c>
      <c r="U49" s="2" t="inlineStr">
        <is>
          <t>-</t>
        </is>
      </c>
      <c r="V49" s="2" t="inlineStr">
        <is>
          <t>29/07/2026 08:00</t>
        </is>
      </c>
    </row>
    <row r="50">
      <c r="A50" s="2" t="inlineStr">
        <is>
          <t>🟢</t>
        </is>
      </c>
      <c r="B50" s="3" t="str">
        <f>HYPERLINK("https://compensar-smartit.onbmc.com/smartit/app/#/workorder/IDGIBMZTENYZ6AT8O6YYT8O6YYV5KG","WO0000000311705")</f>
        <v>WO0000000311705</v>
      </c>
      <c r="C50" s="2" t="inlineStr">
        <is>
          <t>No</t>
        </is>
      </c>
      <c r="D50" s="2" t="inlineStr">
        <is>
          <t>Revisión Equipos de Teletrabajo</t>
        </is>
      </c>
      <c r="E50" s="2" t="inlineStr">
        <is>
          <t>En curso</t>
        </is>
      </c>
      <c r="F50" s="2" t="inlineStr">
        <is>
          <t>buen día
Por favor escalar caso a FABIAN JESSID PASTRANA AGUIRRE, SPT CABECERA CARRERA 69 para realizar la actividad indicada en la siguiente maquina C008847.
Por favor realizar nivelación en programas que no se tiene, Eliminar temporales, liberar espacio en disco (Eliminar actualizaciones) y actualizar software, verificar periféricos y al mismo tiempo validar que cuenta con los programas:
Windows app
Zabbix
Gracias.</t>
        </is>
      </c>
      <c r="G50" s="2" t="inlineStr">
        <is>
          <t>SERVICIOS DE TECNOLOGIA-ACOMPANAMIENTO-EJECUCION DE ACTIVIDADES EN SITIO</t>
        </is>
      </c>
      <c r="H50" s="2" t="inlineStr">
        <is>
          <t>Web</t>
        </is>
      </c>
      <c r="I50" s="2" t="inlineStr">
        <is>
          <t>Baja</t>
        </is>
      </c>
      <c r="J50" s="5">
        <v>46227.28680555556</v>
      </c>
      <c r="K50" s="2" t="inlineStr">
        <is>
          <t>FABIAN JESSID PASTRANA AGUIRRE</t>
        </is>
      </c>
      <c r="L50" s="2" t="inlineStr">
        <is>
          <t>SPT CABECERA CARRERA 69</t>
        </is>
      </c>
      <c r="M50" s="2" t="inlineStr">
        <is>
          <t>SERVICIOS DE TI</t>
        </is>
      </c>
      <c r="N50" s="2"/>
      <c r="O50" s="2" t="inlineStr">
        <is>
          <t>SALUD</t>
        </is>
      </c>
      <c r="P50" s="2"/>
      <c r="Q50" s="2" t="inlineStr">
        <is>
          <t>IDGIBMZTENYZ6AT8O6YYT8O6YYV5KG</t>
        </is>
      </c>
      <c r="R50" s="2" t="inlineStr">
        <is>
          <t>a) 0-4</t>
        </is>
      </c>
      <c r="S50" s="4"/>
      <c r="T50" s="2" t="inlineStr">
        <is>
          <t>SALUD</t>
        </is>
      </c>
      <c r="U50" s="2" t="inlineStr">
        <is>
          <t>-</t>
        </is>
      </c>
      <c r="V50" s="2" t="inlineStr">
        <is>
          <t>29/07/2026 08:00</t>
        </is>
      </c>
    </row>
    <row r="51">
      <c r="A51" s="2" t="inlineStr">
        <is>
          <t>🟢</t>
        </is>
      </c>
      <c r="B51" s="3" t="str">
        <f>HYPERLINK("https://compensar-smartit.onbmc.com/smartit/app/#/workorder/IDGIBMZTENYZ6AT8O7CRT8O7CRV7I5","WO0000000311706")</f>
        <v>WO0000000311706</v>
      </c>
      <c r="C51" s="2" t="inlineStr">
        <is>
          <t>No</t>
        </is>
      </c>
      <c r="D51" s="2" t="inlineStr">
        <is>
          <t>Revisión Equipos de Teletrabajo</t>
        </is>
      </c>
      <c r="E51" s="2" t="inlineStr">
        <is>
          <t>En curso</t>
        </is>
      </c>
      <c r="F51" s="2" t="inlineStr">
        <is>
          <t>buen día
Por favor escalar caso a FABIAN JESSID PASTRANA AGUIRRE, SPT CABECERA CARRERA 69 para realizar la actividad indicada en la siguiente maquina C009028.
Por favor realizar nivelación en programas que no se tiene, Eliminar temporales, liberar espacio en disco (Eliminar actualizaciones) y actualizar software, verificar periféricos y al mismo tiempo validar que cuenta con los programas:
Windows app
Zabbix
Gracias.</t>
        </is>
      </c>
      <c r="G51" s="2" t="inlineStr">
        <is>
          <t>SERVICIOS DE TECNOLOGIA-ACOMPANAMIENTO-EJECUCION DE ACTIVIDADES EN SITIO</t>
        </is>
      </c>
      <c r="H51" s="2" t="inlineStr">
        <is>
          <t>Web</t>
        </is>
      </c>
      <c r="I51" s="2" t="inlineStr">
        <is>
          <t>Baja</t>
        </is>
      </c>
      <c r="J51" s="5">
        <v>46227.288194444445</v>
      </c>
      <c r="K51" s="2" t="inlineStr">
        <is>
          <t>FABIAN JESSID PASTRANA AGUIRRE</t>
        </is>
      </c>
      <c r="L51" s="2" t="inlineStr">
        <is>
          <t>SPT CABECERA CARRERA 69</t>
        </is>
      </c>
      <c r="M51" s="2" t="inlineStr">
        <is>
          <t>SERVICIOS DE TI</t>
        </is>
      </c>
      <c r="N51" s="2" t="inlineStr">
        <is>
          <t>C009028</t>
        </is>
      </c>
      <c r="O51" s="2" t="inlineStr">
        <is>
          <t>SALUD</t>
        </is>
      </c>
      <c r="P51" s="2"/>
      <c r="Q51" s="2" t="inlineStr">
        <is>
          <t>IDGIBMZTENYZ6AT8O7CRT8O7CRV7I5</t>
        </is>
      </c>
      <c r="R51" s="2" t="inlineStr">
        <is>
          <t>a) 0-4</t>
        </is>
      </c>
      <c r="S51" s="4"/>
      <c r="T51" s="2" t="inlineStr">
        <is>
          <t>SALUD</t>
        </is>
      </c>
      <c r="U51" s="2" t="inlineStr">
        <is>
          <t>-</t>
        </is>
      </c>
      <c r="V51" s="2" t="inlineStr">
        <is>
          <t>29/07/2026 08:00</t>
        </is>
      </c>
    </row>
    <row r="52">
      <c r="A52" s="2" t="inlineStr">
        <is>
          <t>🟢</t>
        </is>
      </c>
      <c r="B52" s="3" t="str">
        <f>HYPERLINK("https://compensar-smartit.onbmc.com/smartit/app/#/workorder/IDGIBMZTENYZ6AT8O7JKT8O7JKVMCY","WO0000000311710")</f>
        <v>WO0000000311710</v>
      </c>
      <c r="C52" s="2" t="inlineStr">
        <is>
          <t>No</t>
        </is>
      </c>
      <c r="D52" s="2" t="inlineStr">
        <is>
          <t>Revisión Equipos de Teletrabajo</t>
        </is>
      </c>
      <c r="E52" s="2" t="inlineStr">
        <is>
          <t>En curso</t>
        </is>
      </c>
      <c r="F52" s="2" t="inlineStr">
        <is>
          <t>buen día
Por favor escalar caso a FABIAN JESSID PASTRANA AGUIRRE, SPT CABECERA CARRERA 69 para realizar la actividad indicada en la siguiente maquina C010837.
Por favor realizar nivelación en programas que no se tiene, Eliminar temporales, liberar espacio en disco (Eliminar actualizaciones) y actualizar software, verificar periféricos y al mismo tiempo validar que cuenta con los programas:
Windows app
Zabbix
Gracias.</t>
        </is>
      </c>
      <c r="G52" s="2" t="inlineStr">
        <is>
          <t>SERVICIOS DE TECNOLOGIA-ACOMPANAMIENTO-EJECUCION DE ACTIVIDADES EN SITIO</t>
        </is>
      </c>
      <c r="H52" s="2" t="inlineStr">
        <is>
          <t>Web</t>
        </is>
      </c>
      <c r="I52" s="2" t="inlineStr">
        <is>
          <t>Baja</t>
        </is>
      </c>
      <c r="J52" s="5">
        <v>46227.290972222225</v>
      </c>
      <c r="K52" s="2" t="inlineStr">
        <is>
          <t>FABIAN JESSID PASTRANA AGUIRRE</t>
        </is>
      </c>
      <c r="L52" s="2" t="inlineStr">
        <is>
          <t>SPT CABECERA CARRERA 69</t>
        </is>
      </c>
      <c r="M52" s="2" t="inlineStr">
        <is>
          <t>SERVICIOS DE TI</t>
        </is>
      </c>
      <c r="N52" s="2" t="inlineStr">
        <is>
          <t>C010837</t>
        </is>
      </c>
      <c r="O52" s="2" t="inlineStr">
        <is>
          <t>SALUD</t>
        </is>
      </c>
      <c r="P52" s="2"/>
      <c r="Q52" s="2" t="inlineStr">
        <is>
          <t>IDGIBMZTENYZ6AT8O7JKT8O7JKVMCY</t>
        </is>
      </c>
      <c r="R52" s="2" t="inlineStr">
        <is>
          <t>a) 0-4</t>
        </is>
      </c>
      <c r="S52" s="4"/>
      <c r="T52" s="2" t="inlineStr">
        <is>
          <t>SALUD</t>
        </is>
      </c>
      <c r="U52" s="2" t="inlineStr">
        <is>
          <t>-</t>
        </is>
      </c>
      <c r="V52" s="2" t="inlineStr">
        <is>
          <t>29/07/2026 08:00</t>
        </is>
      </c>
    </row>
    <row r="53">
      <c r="A53" s="2" t="inlineStr">
        <is>
          <t>🟢</t>
        </is>
      </c>
      <c r="B53" s="3" t="str">
        <f>HYPERLINK("https://compensar-smartit.onbmc.com/smartit/app/#/workorder/IDGIBMZTENYZ6AT8O734T8O734VOHK","WO0000000311713")</f>
        <v>WO0000000311713</v>
      </c>
      <c r="C53" s="2" t="inlineStr">
        <is>
          <t>No</t>
        </is>
      </c>
      <c r="D53" s="2" t="inlineStr">
        <is>
          <t>Revisión Equipos de Teletrabajo</t>
        </is>
      </c>
      <c r="E53" s="2" t="inlineStr">
        <is>
          <t>En curso</t>
        </is>
      </c>
      <c r="F53" s="2" t="inlineStr">
        <is>
          <t>buen día
Por favor escalar caso a FABIAN JESSID PASTRANA AGUIRRE, SPT CABECERA CARRERA 69 para realizar la actividad indicada en la siguiente maquina C006450.
Por favor realizar nivelación en programas que no se tiene, Eliminar temporales, liberar espacio en disco (Eliminar actualizaciones) y actualizar software, verificar periféricos y al mismo tiempo validar que cuenta con los programas:
Windows app
Zabbix
Gracias.</t>
        </is>
      </c>
      <c r="G53" s="2" t="inlineStr">
        <is>
          <t>SERVICIOS DE TECNOLOGIA-ACOMPANAMIENTO-EJECUCION DE ACTIVIDADES EN SITIO</t>
        </is>
      </c>
      <c r="H53" s="2" t="inlineStr">
        <is>
          <t>Web</t>
        </is>
      </c>
      <c r="I53" s="2" t="inlineStr">
        <is>
          <t>Baja</t>
        </is>
      </c>
      <c r="J53" s="5">
        <v>46227.29236111111</v>
      </c>
      <c r="K53" s="2" t="inlineStr">
        <is>
          <t>FABIAN JESSID PASTRANA AGUIRRE</t>
        </is>
      </c>
      <c r="L53" s="2" t="inlineStr">
        <is>
          <t>SPT CABECERA CARRERA 69</t>
        </is>
      </c>
      <c r="M53" s="2" t="inlineStr">
        <is>
          <t>SERVICIOS DE TI</t>
        </is>
      </c>
      <c r="N53" s="2" t="inlineStr">
        <is>
          <t>C006450</t>
        </is>
      </c>
      <c r="O53" s="2" t="inlineStr">
        <is>
          <t>SALUD</t>
        </is>
      </c>
      <c r="P53" s="2"/>
      <c r="Q53" s="2" t="inlineStr">
        <is>
          <t>IDGIBMZTENYZ6AT8O734T8O734VOHK</t>
        </is>
      </c>
      <c r="R53" s="2" t="inlineStr">
        <is>
          <t>a) 0-4</t>
        </is>
      </c>
      <c r="S53" s="4"/>
      <c r="T53" s="2" t="inlineStr">
        <is>
          <t>SALUD</t>
        </is>
      </c>
      <c r="U53" s="2" t="inlineStr">
        <is>
          <t>-</t>
        </is>
      </c>
      <c r="V53" s="2" t="inlineStr">
        <is>
          <t>29/07/2026 08:00</t>
        </is>
      </c>
    </row>
    <row r="54">
      <c r="A54" s="2" t="inlineStr">
        <is>
          <t>🟢</t>
        </is>
      </c>
      <c r="B54" s="3" t="str">
        <f>HYPERLINK("https://compensar-smartit.onbmc.com/smartit/app/#/workorder/IDGIBMZTENYZ6AT8O7MQT8O7MQVTCK","WO0000000311715")</f>
        <v>WO0000000311715</v>
      </c>
      <c r="C54" s="2" t="inlineStr">
        <is>
          <t>No</t>
        </is>
      </c>
      <c r="D54" s="2" t="inlineStr">
        <is>
          <t>Revisión Equipos de Teletrabajo</t>
        </is>
      </c>
      <c r="E54" s="2" t="inlineStr">
        <is>
          <t>En curso</t>
        </is>
      </c>
      <c r="F54" s="2" t="inlineStr">
        <is>
          <t>buen día
Por favor escalar caso a FABIAN JESSID PASTRANA AGUIRRE, SPT CABECERA CARRERA 69 para realizar la actividad indicada en la siguiente maquina C010863.
Por favor realizar nivelación en programas que no se tiene, Eliminar temporales, liberar espacio en disco (Eliminar actualizaciones) y actualizar software, verificar periféricos y al mismo tiempo validar que cuenta con los programas:
Windows app
Zabbix
Gracias.</t>
        </is>
      </c>
      <c r="G54" s="2" t="inlineStr">
        <is>
          <t>SERVICIOS DE TECNOLOGIA-ACOMPANAMIENTO-EJECUCION DE ACTIVIDADES EN SITIO</t>
        </is>
      </c>
      <c r="H54" s="2" t="inlineStr">
        <is>
          <t>Web</t>
        </is>
      </c>
      <c r="I54" s="2" t="inlineStr">
        <is>
          <t>Baja</t>
        </is>
      </c>
      <c r="J54" s="5">
        <v>46227.29652777778</v>
      </c>
      <c r="K54" s="2" t="inlineStr">
        <is>
          <t>FABIAN JESSID PASTRANA AGUIRRE</t>
        </is>
      </c>
      <c r="L54" s="2" t="inlineStr">
        <is>
          <t>SPT CABECERA CARRERA 69</t>
        </is>
      </c>
      <c r="M54" s="2" t="inlineStr">
        <is>
          <t>SERVICIOS DE TI</t>
        </is>
      </c>
      <c r="N54" s="2" t="inlineStr">
        <is>
          <t>C010863</t>
        </is>
      </c>
      <c r="O54" s="2" t="inlineStr">
        <is>
          <t>SALUD</t>
        </is>
      </c>
      <c r="P54" s="2"/>
      <c r="Q54" s="2" t="inlineStr">
        <is>
          <t>IDGIBMZTENYZ6AT8O7MQT8O7MQVTCK</t>
        </is>
      </c>
      <c r="R54" s="2" t="inlineStr">
        <is>
          <t>a) 0-4</t>
        </is>
      </c>
      <c r="S54" s="4"/>
      <c r="T54" s="2" t="inlineStr">
        <is>
          <t>SALUD</t>
        </is>
      </c>
      <c r="U54" s="2" t="inlineStr">
        <is>
          <t>-</t>
        </is>
      </c>
      <c r="V54" s="2" t="inlineStr">
        <is>
          <t>29/07/2026 08:00</t>
        </is>
      </c>
    </row>
    <row r="55">
      <c r="A55" s="2" t="inlineStr">
        <is>
          <t>🟢</t>
        </is>
      </c>
      <c r="B55" s="3" t="str">
        <f>HYPERLINK("https://compensar-smartit.onbmc.com/smartit/app/#/workorder/IDGIBMZTENYZ6AT8O7SLT8O7SLVXFT","WO0000000311716")</f>
        <v>WO0000000311716</v>
      </c>
      <c r="C55" s="2" t="inlineStr">
        <is>
          <t>No</t>
        </is>
      </c>
      <c r="D55" s="2" t="inlineStr">
        <is>
          <t>Revisión Equipos de Teletrabajo</t>
        </is>
      </c>
      <c r="E55" s="2" t="inlineStr">
        <is>
          <t>En curso</t>
        </is>
      </c>
      <c r="F55" s="2" t="inlineStr">
        <is>
          <t>buen día
Por favor escalar caso a FABIAN JESSID PASTRANA AGUIRRE, SPT CABECERA CARRERA 69 para realizar la actividad indicada en la siguiente maquina C006480.
Por favor realizar nivelación en programas que no se tiene, Eliminar temporales, liberar espacio en disco (Eliminar actualizaciones) y actualizar software, verificar periféricos y al mismo tiempo validar que cuenta con los programas:
Windows app
Zabbix
Gracias.</t>
        </is>
      </c>
      <c r="G55" s="2" t="inlineStr">
        <is>
          <t>SERVICIOS DE TECNOLOGIA-ACOMPANAMIENTO-EJECUCION DE ACTIVIDADES EN SITIO</t>
        </is>
      </c>
      <c r="H55" s="2" t="inlineStr">
        <is>
          <t>Web</t>
        </is>
      </c>
      <c r="I55" s="2" t="inlineStr">
        <is>
          <t>Baja</t>
        </is>
      </c>
      <c r="J55" s="5">
        <v>46227.29861111111</v>
      </c>
      <c r="K55" s="2" t="inlineStr">
        <is>
          <t>FABIAN JESSID PASTRANA AGUIRRE</t>
        </is>
      </c>
      <c r="L55" s="2" t="inlineStr">
        <is>
          <t>SPT CABECERA CARRERA 69</t>
        </is>
      </c>
      <c r="M55" s="2" t="inlineStr">
        <is>
          <t>SERVICIOS DE TI</t>
        </is>
      </c>
      <c r="N55" s="2" t="inlineStr">
        <is>
          <t>C006480</t>
        </is>
      </c>
      <c r="O55" s="2" t="inlineStr">
        <is>
          <t>SALUD</t>
        </is>
      </c>
      <c r="P55" s="2"/>
      <c r="Q55" s="2" t="inlineStr">
        <is>
          <t>IDGIBMZTENYZ6AT8O7SLT8O7SLVXFT</t>
        </is>
      </c>
      <c r="R55" s="2" t="inlineStr">
        <is>
          <t>a) 0-4</t>
        </is>
      </c>
      <c r="S55" s="4"/>
      <c r="T55" s="2" t="inlineStr">
        <is>
          <t>SALUD</t>
        </is>
      </c>
      <c r="U55" s="2" t="inlineStr">
        <is>
          <t>-</t>
        </is>
      </c>
      <c r="V55" s="2" t="inlineStr">
        <is>
          <t>29/07/2026 08:00</t>
        </is>
      </c>
    </row>
    <row r="56">
      <c r="A56" s="2" t="inlineStr">
        <is>
          <t>🟢</t>
        </is>
      </c>
      <c r="B56" s="3" t="str">
        <f>HYPERLINK("https://compensar-smartit.onbmc.com/smartit/app/#/workorder/IDGIBMZTENYZ6AT8O7W1T8O7W1VZDH","WO0000000311717")</f>
        <v>WO0000000311717</v>
      </c>
      <c r="C56" s="2" t="inlineStr">
        <is>
          <t>No</t>
        </is>
      </c>
      <c r="D56" s="2" t="inlineStr">
        <is>
          <t>Revisión Equipos de Teletrabajo</t>
        </is>
      </c>
      <c r="E56" s="2" t="inlineStr">
        <is>
          <t>En curso</t>
        </is>
      </c>
      <c r="F56" s="2" t="inlineStr">
        <is>
          <t>buen día
Por favor escalar caso a FABIAN JESSID PASTRANA AGUIRRE, SPT CABECERA CARRERA 69 para realizar la actividad indicada en la siguiente maquina C008788.
Por favor realizar nivelación en programas que no se tiene, Eliminar temporales, liberar espacio en disco (Eliminar actualizaciones) y actualizar software, verificar periféricos y al mismo tiempo validar que cuenta con los programas:
Windows app
Zabbix
Gracias.</t>
        </is>
      </c>
      <c r="G56" s="2" t="inlineStr">
        <is>
          <t>SERVICIOS DE TECNOLOGIA-ACOMPANAMIENTO-EJECUCION DE ACTIVIDADES EN SITIO</t>
        </is>
      </c>
      <c r="H56" s="2" t="inlineStr">
        <is>
          <t>Web</t>
        </is>
      </c>
      <c r="I56" s="2" t="inlineStr">
        <is>
          <t>Baja</t>
        </is>
      </c>
      <c r="J56" s="5">
        <v>46227.30069444444</v>
      </c>
      <c r="K56" s="2" t="inlineStr">
        <is>
          <t>FABIAN JESSID PASTRANA AGUIRRE</t>
        </is>
      </c>
      <c r="L56" s="2" t="inlineStr">
        <is>
          <t>SPT CABECERA CARRERA 69</t>
        </is>
      </c>
      <c r="M56" s="2" t="inlineStr">
        <is>
          <t>SERVICIOS DE TI</t>
        </is>
      </c>
      <c r="N56" s="2" t="inlineStr">
        <is>
          <t>C008788</t>
        </is>
      </c>
      <c r="O56" s="2" t="inlineStr">
        <is>
          <t>SALUD</t>
        </is>
      </c>
      <c r="P56" s="2"/>
      <c r="Q56" s="2" t="inlineStr">
        <is>
          <t>IDGIBMZTENYZ6AT8O7W1T8O7W1VZDH</t>
        </is>
      </c>
      <c r="R56" s="2" t="inlineStr">
        <is>
          <t>a) 0-4</t>
        </is>
      </c>
      <c r="S56" s="4"/>
      <c r="T56" s="2" t="inlineStr">
        <is>
          <t>SALUD</t>
        </is>
      </c>
      <c r="U56" s="2" t="inlineStr">
        <is>
          <t>-</t>
        </is>
      </c>
      <c r="V56" s="2" t="inlineStr">
        <is>
          <t>29/07/2026 08:00</t>
        </is>
      </c>
    </row>
    <row r="57">
      <c r="A57" s="2" t="inlineStr">
        <is>
          <t>🟢</t>
        </is>
      </c>
      <c r="B57" s="3" t="str">
        <f>HYPERLINK("https://compensar-smartit.onbmc.com/smartit/app/#/workorder/IDGIBMZTENYZ6AT8O8CDT8O8CDWCKL","WO0000000311720")</f>
        <v>WO0000000311720</v>
      </c>
      <c r="C57" s="2" t="inlineStr">
        <is>
          <t>No</t>
        </is>
      </c>
      <c r="D57" s="2" t="inlineStr">
        <is>
          <t>Revisión Equipos de Teletrabajo</t>
        </is>
      </c>
      <c r="E57" s="2" t="inlineStr">
        <is>
          <t>En curso</t>
        </is>
      </c>
      <c r="F57" s="2" t="inlineStr">
        <is>
          <t>buen día
Por favor escalar caso a FABIAN JESSID PASTRANA AGUIRRE, SPT CABECERA CARRERA 69 para realizar la actividad indicada en la siguiente maquina C008841.
Por favor realizar nivelación en programas que no se tiene, Eliminar temporales, liberar espacio en disco (Eliminar actualizaciones) y actualizar software, verificar periféricos y al mismo tiempo validar que cuenta con los programas:
Windows app
Zabbix
Gracias.</t>
        </is>
      </c>
      <c r="G57" s="2" t="inlineStr">
        <is>
          <t>SERVICIOS DE TECNOLOGIA-ACOMPANAMIENTO-EJECUCION DE ACTIVIDADES EN SITIO</t>
        </is>
      </c>
      <c r="H57" s="2" t="inlineStr">
        <is>
          <t>Web</t>
        </is>
      </c>
      <c r="I57" s="2" t="inlineStr">
        <is>
          <t>Baja</t>
        </is>
      </c>
      <c r="J57" s="5">
        <v>46227.302777777775</v>
      </c>
      <c r="K57" s="2" t="inlineStr">
        <is>
          <t>FABIAN JESSID PASTRANA AGUIRRE</t>
        </is>
      </c>
      <c r="L57" s="2" t="inlineStr">
        <is>
          <t>SPT CABECERA CARRERA 69</t>
        </is>
      </c>
      <c r="M57" s="2" t="inlineStr">
        <is>
          <t>SERVICIOS DE TI</t>
        </is>
      </c>
      <c r="N57" s="2" t="inlineStr">
        <is>
          <t>C008841</t>
        </is>
      </c>
      <c r="O57" s="2" t="inlineStr">
        <is>
          <t>SALUD</t>
        </is>
      </c>
      <c r="P57" s="2"/>
      <c r="Q57" s="2" t="inlineStr">
        <is>
          <t>IDGIBMZTENYZ6AT8O8CDT8O8CDWCKL</t>
        </is>
      </c>
      <c r="R57" s="2" t="inlineStr">
        <is>
          <t>a) 0-4</t>
        </is>
      </c>
      <c r="S57" s="4"/>
      <c r="T57" s="2" t="inlineStr">
        <is>
          <t>SALUD</t>
        </is>
      </c>
      <c r="U57" s="2" t="inlineStr">
        <is>
          <t>-</t>
        </is>
      </c>
      <c r="V57" s="2" t="inlineStr">
        <is>
          <t>29/07/2026 08:00</t>
        </is>
      </c>
    </row>
    <row r="58">
      <c r="A58" s="2" t="inlineStr">
        <is>
          <t>🟢</t>
        </is>
      </c>
      <c r="B58" s="3" t="str">
        <f>HYPERLINK("https://compensar-smartit.onbmc.com/smartit/app/#/workorder/IDGIBMZTENYZ6AT8OKABT8OKABX8Z8","WO0000000311739")</f>
        <v>WO0000000311739</v>
      </c>
      <c r="C58" s="2" t="inlineStr">
        <is>
          <t>No</t>
        </is>
      </c>
      <c r="D58" s="2" t="inlineStr">
        <is>
          <t>Conexion WIFI corporativo</t>
        </is>
      </c>
      <c r="E58" s="2" t="inlineStr">
        <is>
          <t>Asignado</t>
        </is>
      </c>
      <c r="F58" s="2" t="inlineStr">
        <is>
          <t>Usuario: Flor Alba Merchan Acero 
CC: 52111294
Tel: 3112895289
Informa: La colaboradora requiere de conexión a WIFI corporativa  para equipo personal cuando le toque ir a sede 
Ubicación: Sede cra 69 , piso 2 , sala balso 
Tiempo: 7:54 a. m. 24/07/2026
Impacto: 1
Evidencias: Se escala para su gestión</t>
        </is>
      </c>
      <c r="G58" s="2" t="inlineStr">
        <is>
          <t>SERVICIOS DE TECNOLOGIA-REDES WIFI-CREAR USUARIO</t>
        </is>
      </c>
      <c r="H58" s="2" t="inlineStr">
        <is>
          <t>Telefono</t>
        </is>
      </c>
      <c r="I58" s="2" t="inlineStr">
        <is>
          <t>Baja</t>
        </is>
      </c>
      <c r="J58" s="5">
        <v>46227.33194444444</v>
      </c>
      <c r="K58" s="2" t="inlineStr">
        <is>
          <t>JUAN CAMILO RINCON BLANCO</t>
        </is>
      </c>
      <c r="L58" s="2" t="inlineStr">
        <is>
          <t>SPT CABECERA CARRERA 69</t>
        </is>
      </c>
      <c r="M58" s="2" t="inlineStr">
        <is>
          <t>SERVICIOS DE TI</t>
        </is>
      </c>
      <c r="N58" s="2"/>
      <c r="O58" s="2" t="inlineStr">
        <is>
          <t>SALUD</t>
        </is>
      </c>
      <c r="P58" s="2"/>
      <c r="Q58" s="2" t="inlineStr">
        <is>
          <t>IDGIBMZTENYZ6AT8OKABT8OKABX8Z8</t>
        </is>
      </c>
      <c r="R58" s="2" t="inlineStr">
        <is>
          <t>a) 0-4</t>
        </is>
      </c>
      <c r="S58" s="4"/>
      <c r="T58" s="2"/>
      <c r="U58" s="2" t="inlineStr">
        <is>
          <t>-</t>
        </is>
      </c>
      <c r="V58" s="2" t="inlineStr">
        <is>
          <t>29/07/2026 08:00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