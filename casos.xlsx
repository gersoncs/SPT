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svg" ContentType="image/svg"/>
  <Default Extension="tiff" ContentType="image/tiff"/>
  <Default Extension="emf" ContentType="image/x-emf"/>
  <Default Extension="wmf" ContentType="image/x-wmf"/>
  <Default Extension="emz" ContentType="image/x-emz"/>
  <Default Extension="bmp" ContentType="image/bmp"/>
  <Default Extension="png" ContentType="image/png"/>
  <Default Extension="gif" ContentType="image/gif"/>
  <Default Extension="wmz" ContentType="image/x-wmz"/>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7.xml" ContentType="application/vnd.openxmlformats-officedocument.drawing+xml"/>
  <Override PartName="/xl/worksheets/sheet11.xml" ContentType="application/vnd.openxmlformats-officedocument.spreadsheetml.worksheet+xml"/>
  <Override PartName="/xl/drawings/drawing8.xml" ContentType="application/vnd.openxmlformats-officedocument.drawing+xml"/>
  <Override PartName="/xl/worksheets/sheet12.xml" ContentType="application/vnd.openxmlformats-officedocument.spreadsheetml.worksheet+xml"/>
  <Override PartName="/xl/drawings/drawing9.xml" ContentType="application/vnd.openxmlformats-officedocument.drawing+xml"/>
  <Override PartName="/xl/worksheets/sheet13.xml" ContentType="application/vnd.openxmlformats-officedocument.spreadsheetml.worksheet+xml"/>
  <Override PartName="/xl/drawings/drawing10.xml" ContentType="application/vnd.openxmlformats-officedocument.drawing+xml"/>
  <Override PartName="/xl/worksheets/sheet14.xml" ContentType="application/vnd.openxmlformats-officedocument.spreadsheetml.worksheet+xml"/>
  <Override PartName="/xl/drawings/drawing11.xml" ContentType="application/vnd.openxmlformats-officedocument.drawing+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1-Untitled" sheetId="2" r:id="rId4"/>
    <sheet name="2-Incidentes" sheetId="3" r:id="rId5"/>
    <sheet name="3-INC - Asignados" sheetId="4" r:id="rId6"/>
    <sheet name="4-INC - Vencimiento SLA" sheetId="5" r:id="rId7"/>
    <sheet name="5-INC - Antiguedad (días)" sheetId="6" r:id="rId8"/>
    <sheet name="6-INC - Estado" sheetId="7" r:id="rId9"/>
    <sheet name="7-INC - Resolutor Asignado" sheetId="8" r:id="rId10"/>
    <sheet name="8-INC - Grupo Asignado" sheetId="9" r:id="rId11"/>
    <sheet name="9-Ordenes de trabajo" sheetId="10" r:id="rId12"/>
    <sheet name="10-WO - Asignados" sheetId="11" r:id="rId13"/>
    <sheet name="11-WO - Vencimiento SLA" sheetId="12" r:id="rId14"/>
    <sheet name="12-WO - Antiguedad (días)" sheetId="13" r:id="rId15"/>
    <sheet name="13-WO - Estado" sheetId="14" r:id="rId16"/>
    <sheet name="14-WO - Resolutor Asignado" sheetId="15" r:id="rId17"/>
    <sheet name="15-WO - Grupo Asignado" sheetId="16" r:id="rId18"/>
    <sheet name="16-Incidentes (1)" sheetId="17" r:id="rId19"/>
    <sheet name="17-Ordenes de Trabajo" sheetId="18" r:id="rId20"/>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dd\/mm\/yyyy\ hh:mm:ss"/>
    <numFmt numFmtId="165" formatCode="dd\/mm\/yyyy\ hh:mm"/>
  </numFmts>
  <fonts count="4">
    <font>
      <sz val="11"/>
      <color theme="1"/>
      <name val="Calibri"/>
      <family val="2"/>
    </font>
    <font>
      <b val="1"/>
      <sz val="11"/>
      <color rgb="FF000000"/>
      <name val="Calibri"/>
      <family val="2"/>
    </font>
    <font>
      <sz val="11"/>
      <color/>
      <name val="Calibri"/>
      <family val="2"/>
    </font>
    <font>
      <u val="single"/>
      <sz val="11"/>
      <color rgb="FFBLUE"/>
      <name val="Calibri"/>
      <family val="2"/>
    </font>
  </fonts>
  <fills count="3">
    <fill>
      <patternFill patternType="none"/>
    </fill>
    <fill>
      <patternFill patternType="gray125"/>
    </fill>
    <fill>
      <patternFill patternType="solid">
        <fgColor rgb="FFF2F2F2"/>
      </patternFill>
    </fill>
  </fills>
  <borders count="2">
    <border>
      <left/>
      <right/>
      <top/>
      <bottom/>
      <diagonal/>
    </border>
    <border>
      <left/>
      <right/>
      <top/>
      <bottom style="thin">
        <color rgb="FF000000"/>
      </bottom>
      <diagonal/>
    </border>
  </borders>
  <cellStyleXfs count="1">
    <xf numFmtId="0" fontId="0" fillId="0" borderId="0"/>
  </cellStyleXfs>
  <cellXfs count="6">
    <xf numFmtId="0" fontId="0" fillId="0" borderId="0" xfId="0"/>
    <xf numFmtId="0" fontId="1" fillId="2" borderId="1" xfId="0" applyFont="true" applyFill="true" applyBorder="true" applyAlignment="true">
      <alignment horizontal="left" vertical="center"/>
    </xf>
    <xf numFmtId="0" fontId="2" fillId="0" borderId="0" xfId="0" applyFont="true" applyAlignment="true">
      <alignment horizontal="left" vertical="top"/>
    </xf>
    <xf numFmtId="0" fontId="3" fillId="0" borderId="0" xfId="0" applyFont="true" applyAlignment="true">
      <alignment horizontal="left" vertical="top"/>
    </xf>
    <xf numFmtId="164" fontId="2" fillId="0" borderId="0" xfId="0" applyNumberFormat="true" applyFont="true" applyAlignment="true">
      <alignment horizontal="left" vertical="top"/>
    </xf>
    <xf numFmtId="165" fontId="2" fillId="0" borderId="0" xfId="0" applyNumberFormat="true" applyFont="true" applyAlignment="true">
      <alignment horizontal="left" vertical="top"/>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worksheets/sheet8.xml" Type="http://schemas.openxmlformats.org/officeDocument/2006/relationships/worksheet"></Relationship><Relationship Id="rId11" Target="/xl/worksheets/sheet9.xml" Type="http://schemas.openxmlformats.org/officeDocument/2006/relationships/worksheet"></Relationship><Relationship Id="rId12" Target="/xl/worksheets/sheet10.xml" Type="http://schemas.openxmlformats.org/officeDocument/2006/relationships/worksheet"></Relationship><Relationship Id="rId13" Target="/xl/worksheets/sheet11.xml" Type="http://schemas.openxmlformats.org/officeDocument/2006/relationships/worksheet"></Relationship><Relationship Id="rId14" Target="/xl/worksheets/sheet12.xml" Type="http://schemas.openxmlformats.org/officeDocument/2006/relationships/worksheet"></Relationship><Relationship Id="rId15" Target="/xl/worksheets/sheet13.xml" Type="http://schemas.openxmlformats.org/officeDocument/2006/relationships/worksheet"></Relationship><Relationship Id="rId16" Target="/xl/worksheets/sheet14.xml" Type="http://schemas.openxmlformats.org/officeDocument/2006/relationships/worksheet"></Relationship><Relationship Id="rId17" Target="/xl/worksheets/sheet15.xml" Type="http://schemas.openxmlformats.org/officeDocument/2006/relationships/worksheet"></Relationship><Relationship Id="rId18" Target="/xl/worksheets/sheet16.xml" Type="http://schemas.openxmlformats.org/officeDocument/2006/relationships/worksheet"></Relationship><Relationship Id="rId19" Target="/xl/worksheets/sheet17.xml" Type="http://schemas.openxmlformats.org/officeDocument/2006/relationships/worksheet"></Relationship><Relationship Id="rId20" Target="/xl/worksheets/sheet18.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_rels/drawing2.xml.rels><?xml version="1.0" encoding="UTF-8"?>
<Relationships xmlns="http://schemas.openxmlformats.org/package/2006/relationships"><Relationship Id="rId1" Target="../media/image2.png" Type="http://schemas.openxmlformats.org/officeDocument/2006/relationships/image"></Relationship></Relationships>
</file>

<file path=xl/drawings/_rels/drawing3.xml.rels><?xml version="1.0" encoding="UTF-8"?>
<Relationships xmlns="http://schemas.openxmlformats.org/package/2006/relationships"><Relationship Id="rId1" Target="../media/image3.png" Type="http://schemas.openxmlformats.org/officeDocument/2006/relationships/image"></Relationship></Relationships>
</file>

<file path=xl/drawings/_rels/drawing4.xml.rels><?xml version="1.0" encoding="UTF-8"?>
<Relationships xmlns="http://schemas.openxmlformats.org/package/2006/relationships"><Relationship Id="rId1" Target="../media/image4.png" Type="http://schemas.openxmlformats.org/officeDocument/2006/relationships/image"></Relationship></Relationships>
</file>

<file path=xl/drawings/_rels/drawing5.xml.rels><?xml version="1.0" encoding="UTF-8"?>
<Relationships xmlns="http://schemas.openxmlformats.org/package/2006/relationships"><Relationship Id="rId1" Target="../media/image5.png" Type="http://schemas.openxmlformats.org/officeDocument/2006/relationships/image"></Relationship></Relationships>
</file>

<file path=xl/drawings/_rels/drawing6.xml.rels><?xml version="1.0" encoding="UTF-8"?>
<Relationships xmlns="http://schemas.openxmlformats.org/package/2006/relationships"><Relationship Id="rId1" Target="../media/image6.png" Type="http://schemas.openxmlformats.org/officeDocument/2006/relationships/image"></Relationship></Relationships>
</file>

<file path=xl/drawings/_rels/drawing7.xml.rels><?xml version="1.0" encoding="UTF-8"?>
<Relationships xmlns="http://schemas.openxmlformats.org/package/2006/relationships"><Relationship Id="rId1" Target="../media/image7.png" Type="http://schemas.openxmlformats.org/officeDocument/2006/relationships/image"></Relationship></Relationships>
</file>

<file path=xl/drawings/_rels/drawing8.xml.rels><?xml version="1.0" encoding="UTF-8"?>
<Relationships xmlns="http://schemas.openxmlformats.org/package/2006/relationships"><Relationship Id="rId1" Target="../media/image8.png" Type="http://schemas.openxmlformats.org/officeDocument/2006/relationships/image"></Relationship></Relationships>
</file>

<file path=xl/drawings/_rels/drawing9.xml.rels><?xml version="1.0" encoding="UTF-8"?>
<Relationships xmlns="http://schemas.openxmlformats.org/package/2006/relationships"><Relationship Id="rId1" Target="../media/image9.png" Type="http://schemas.openxmlformats.org/officeDocument/2006/relationships/image"></Relationship></Relationships>
</file>

<file path=xl/drawings/_rels/drawing10.xml.rels><?xml version="1.0" encoding="UTF-8"?>
<Relationships xmlns="http://schemas.openxmlformats.org/package/2006/relationships"><Relationship Id="rId1" Target="../media/image10.png" Type="http://schemas.openxmlformats.org/officeDocument/2006/relationships/image"></Relationship></Relationships>
</file>

<file path=xl/drawings/_rels/drawing11.xml.rels><?xml version="1.0" encoding="UTF-8"?>
<Relationships xmlns="http://schemas.openxmlformats.org/package/2006/relationships"><Relationship Id="rId1" Target="../media/image1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0</xdr:col>
      <xdr:colOff>0</xdr:colOff>
      <xdr:row>0</xdr:row>
      <xdr:rowOff>0</xdr:rowOff>
    </xdr:from>
    <xdr:to>
      <xdr:col>15</xdr:col>
      <xdr:colOff>381000</xdr:colOff>
      <xdr:row>25</xdr:row>
      <xdr:rowOff>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2.xml><?xml version="1.0" encoding="utf-8"?>
<xdr:wsDr xmlns="http://schemas.openxmlformats.org/drawingml/2006/spreadsheetDrawing" xmlns:a="http://schemas.openxmlformats.org/drawingml/2006/main" xmlns:xdr="http://schemas.openxmlformats.org/drawingml/2006/spreadsheetDrawing">
  <xdr:twoCellAnchor>
    <xdr:from>
      <xdr:col>0</xdr:col>
      <xdr:colOff>0</xdr:colOff>
      <xdr:row>0</xdr:row>
      <xdr:rowOff>0</xdr:rowOff>
    </xdr:from>
    <xdr:to>
      <xdr:col>15</xdr:col>
      <xdr:colOff>381000</xdr:colOff>
      <xdr:row>25</xdr:row>
      <xdr:rowOff>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3.xml><?xml version="1.0" encoding="utf-8"?>
<xdr:wsDr xmlns="http://schemas.openxmlformats.org/drawingml/2006/spreadsheetDrawing" xmlns:a="http://schemas.openxmlformats.org/drawingml/2006/main" xmlns:xdr="http://schemas.openxmlformats.org/drawingml/2006/spreadsheetDrawing">
  <xdr:twoCellAnchor>
    <xdr:from>
      <xdr:col>0</xdr:col>
      <xdr:colOff>0</xdr:colOff>
      <xdr:row>0</xdr:row>
      <xdr:rowOff>0</xdr:rowOff>
    </xdr:from>
    <xdr:to>
      <xdr:col>15</xdr:col>
      <xdr:colOff>381000</xdr:colOff>
      <xdr:row>25</xdr:row>
      <xdr:rowOff>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4.xml><?xml version="1.0" encoding="utf-8"?>
<xdr:wsDr xmlns="http://schemas.openxmlformats.org/drawingml/2006/spreadsheetDrawing" xmlns:a="http://schemas.openxmlformats.org/drawingml/2006/main" xmlns:xdr="http://schemas.openxmlformats.org/drawingml/2006/spreadsheetDrawing">
  <xdr:twoCellAnchor>
    <xdr:from>
      <xdr:col>0</xdr:col>
      <xdr:colOff>0</xdr:colOff>
      <xdr:row>0</xdr:row>
      <xdr:rowOff>0</xdr:rowOff>
    </xdr:from>
    <xdr:to>
      <xdr:col>15</xdr:col>
      <xdr:colOff>381000</xdr:colOff>
      <xdr:row>25</xdr:row>
      <xdr:rowOff>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5.xml><?xml version="1.0" encoding="utf-8"?>
<xdr:wsDr xmlns="http://schemas.openxmlformats.org/drawingml/2006/spreadsheetDrawing" xmlns:a="http://schemas.openxmlformats.org/drawingml/2006/main" xmlns:xdr="http://schemas.openxmlformats.org/drawingml/2006/spreadsheetDrawing">
  <xdr:twoCellAnchor>
    <xdr:from>
      <xdr:col>0</xdr:col>
      <xdr:colOff>0</xdr:colOff>
      <xdr:row>0</xdr:row>
      <xdr:rowOff>0</xdr:rowOff>
    </xdr:from>
    <xdr:to>
      <xdr:col>15</xdr:col>
      <xdr:colOff>381000</xdr:colOff>
      <xdr:row>25</xdr:row>
      <xdr:rowOff>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6.xml><?xml version="1.0" encoding="utf-8"?>
<xdr:wsDr xmlns="http://schemas.openxmlformats.org/drawingml/2006/spreadsheetDrawing" xmlns:a="http://schemas.openxmlformats.org/drawingml/2006/main" xmlns:xdr="http://schemas.openxmlformats.org/drawingml/2006/spreadsheetDrawing">
  <xdr:twoCellAnchor>
    <xdr:from>
      <xdr:col>0</xdr:col>
      <xdr:colOff>0</xdr:colOff>
      <xdr:row>0</xdr:row>
      <xdr:rowOff>0</xdr:rowOff>
    </xdr:from>
    <xdr:to>
      <xdr:col>15</xdr:col>
      <xdr:colOff>381000</xdr:colOff>
      <xdr:row>25</xdr:row>
      <xdr:rowOff>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7.xml><?xml version="1.0" encoding="utf-8"?>
<xdr:wsDr xmlns="http://schemas.openxmlformats.org/drawingml/2006/spreadsheetDrawing" xmlns:a="http://schemas.openxmlformats.org/drawingml/2006/main" xmlns:xdr="http://schemas.openxmlformats.org/drawingml/2006/spreadsheetDrawing">
  <xdr:twoCellAnchor>
    <xdr:from>
      <xdr:col>0</xdr:col>
      <xdr:colOff>0</xdr:colOff>
      <xdr:row>0</xdr:row>
      <xdr:rowOff>0</xdr:rowOff>
    </xdr:from>
    <xdr:to>
      <xdr:col>15</xdr:col>
      <xdr:colOff>381000</xdr:colOff>
      <xdr:row>25</xdr:row>
      <xdr:rowOff>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8.xml><?xml version="1.0" encoding="utf-8"?>
<xdr:wsDr xmlns="http://schemas.openxmlformats.org/drawingml/2006/spreadsheetDrawing" xmlns:a="http://schemas.openxmlformats.org/drawingml/2006/main" xmlns:xdr="http://schemas.openxmlformats.org/drawingml/2006/spreadsheetDrawing">
  <xdr:twoCellAnchor>
    <xdr:from>
      <xdr:col>0</xdr:col>
      <xdr:colOff>0</xdr:colOff>
      <xdr:row>0</xdr:row>
      <xdr:rowOff>0</xdr:rowOff>
    </xdr:from>
    <xdr:to>
      <xdr:col>15</xdr:col>
      <xdr:colOff>381000</xdr:colOff>
      <xdr:row>25</xdr:row>
      <xdr:rowOff>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9.xml><?xml version="1.0" encoding="utf-8"?>
<xdr:wsDr xmlns="http://schemas.openxmlformats.org/drawingml/2006/spreadsheetDrawing" xmlns:a="http://schemas.openxmlformats.org/drawingml/2006/main" xmlns:xdr="http://schemas.openxmlformats.org/drawingml/2006/spreadsheetDrawing">
  <xdr:twoCellAnchor>
    <xdr:from>
      <xdr:col>0</xdr:col>
      <xdr:colOff>0</xdr:colOff>
      <xdr:row>0</xdr:row>
      <xdr:rowOff>0</xdr:rowOff>
    </xdr:from>
    <xdr:to>
      <xdr:col>15</xdr:col>
      <xdr:colOff>381000</xdr:colOff>
      <xdr:row>25</xdr:row>
      <xdr:rowOff>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0.xml><?xml version="1.0" encoding="utf-8"?>
<xdr:wsDr xmlns="http://schemas.openxmlformats.org/drawingml/2006/spreadsheetDrawing" xmlns:a="http://schemas.openxmlformats.org/drawingml/2006/main" xmlns:xdr="http://schemas.openxmlformats.org/drawingml/2006/spreadsheetDrawing">
  <xdr:twoCellAnchor>
    <xdr:from>
      <xdr:col>0</xdr:col>
      <xdr:colOff>0</xdr:colOff>
      <xdr:row>0</xdr:row>
      <xdr:rowOff>0</xdr:rowOff>
    </xdr:from>
    <xdr:to>
      <xdr:col>15</xdr:col>
      <xdr:colOff>381000</xdr:colOff>
      <xdr:row>25</xdr:row>
      <xdr:rowOff>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1.xml><?xml version="1.0" encoding="utf-8"?>
<xdr:wsDr xmlns="http://schemas.openxmlformats.org/drawingml/2006/spreadsheetDrawing" xmlns:a="http://schemas.openxmlformats.org/drawingml/2006/main" xmlns:xdr="http://schemas.openxmlformats.org/drawingml/2006/spreadsheetDrawing">
  <xdr:twoCellAnchor>
    <xdr:from>
      <xdr:col>0</xdr:col>
      <xdr:colOff>0</xdr:colOff>
      <xdr:row>0</xdr:row>
      <xdr:rowOff>0</xdr:rowOff>
    </xdr:from>
    <xdr:to>
      <xdr:col>15</xdr:col>
      <xdr:colOff>381000</xdr:colOff>
      <xdr:row>25</xdr:row>
      <xdr:rowOff>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_rels/sheet3.xml.rels><?xml version="1.0" encoding="UTF-8"?>
<Relationships xmlns="http://schemas.openxmlformats.org/package/2006/relationships"><Relationship Id="rId1" Target="../drawings/drawing2.xml" Type="http://schemas.openxmlformats.org/officeDocument/2006/relationships/drawing"></Relationship></Relationships>
</file>

<file path=xl/worksheets/_rels/sheet4.xml.rels><?xml version="1.0" encoding="UTF-8"?>
<Relationships xmlns="http://schemas.openxmlformats.org/package/2006/relationships"><Relationship Id="rId1" Target="../drawings/drawing3.xml" Type="http://schemas.openxmlformats.org/officeDocument/2006/relationships/drawing"></Relationship></Relationships>
</file>

<file path=xl/worksheets/_rels/sheet5.xml.rels><?xml version="1.0" encoding="UTF-8"?>
<Relationships xmlns="http://schemas.openxmlformats.org/package/2006/relationships"><Relationship Id="rId1" Target="../drawings/drawing4.xml" Type="http://schemas.openxmlformats.org/officeDocument/2006/relationships/drawing"></Relationship></Relationships>
</file>

<file path=xl/worksheets/_rels/sheet6.xml.rels><?xml version="1.0" encoding="UTF-8"?>
<Relationships xmlns="http://schemas.openxmlformats.org/package/2006/relationships"><Relationship Id="rId1" Target="../drawings/drawing5.xml" Type="http://schemas.openxmlformats.org/officeDocument/2006/relationships/drawing"></Relationship></Relationships>
</file>

<file path=xl/worksheets/_rels/sheet7.xml.rels><?xml version="1.0" encoding="UTF-8"?>
<Relationships xmlns="http://schemas.openxmlformats.org/package/2006/relationships"><Relationship Id="rId1" Target="../drawings/drawing6.xml" Type="http://schemas.openxmlformats.org/officeDocument/2006/relationships/drawing"></Relationship></Relationships>
</file>

<file path=xl/worksheets/_rels/sheet10.xml.rels><?xml version="1.0" encoding="UTF-8"?>
<Relationships xmlns="http://schemas.openxmlformats.org/package/2006/relationships"><Relationship Id="rId1" Target="../drawings/drawing7.xml" Type="http://schemas.openxmlformats.org/officeDocument/2006/relationships/drawing"></Relationship></Relationships>
</file>

<file path=xl/worksheets/_rels/sheet11.xml.rels><?xml version="1.0" encoding="UTF-8"?>
<Relationships xmlns="http://schemas.openxmlformats.org/package/2006/relationships"><Relationship Id="rId1" Target="../drawings/drawing8.xml" Type="http://schemas.openxmlformats.org/officeDocument/2006/relationships/drawing"></Relationship></Relationships>
</file>

<file path=xl/worksheets/_rels/sheet12.xml.rels><?xml version="1.0" encoding="UTF-8"?>
<Relationships xmlns="http://schemas.openxmlformats.org/package/2006/relationships"><Relationship Id="rId1" Target="../drawings/drawing9.xml" Type="http://schemas.openxmlformats.org/officeDocument/2006/relationships/drawing"></Relationship></Relationships>
</file>

<file path=xl/worksheets/_rels/sheet13.xml.rels><?xml version="1.0" encoding="UTF-8"?>
<Relationships xmlns="http://schemas.openxmlformats.org/package/2006/relationships"><Relationship Id="rId1" Target="../drawings/drawing10.xml" Type="http://schemas.openxmlformats.org/officeDocument/2006/relationships/drawing"></Relationship></Relationships>
</file>

<file path=xl/worksheets/_rels/sheet14.xml.rels><?xml version="1.0" encoding="UTF-8"?>
<Relationships xmlns="http://schemas.openxmlformats.org/package/2006/relationships"><Relationship Id="rId1" Target="../drawings/drawing11.xml" Type="http://schemas.openxmlformats.org/officeDocument/2006/relationships/drawing"></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sheetData/>
  <drawing r:id="rId1"/>
</worksheet>
</file>

<file path=xl/worksheets/sheet3.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sheetData/>
  <drawing r:id="rId1"/>
</worksheet>
</file>

<file path=xl/worksheets/sheet4.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sheetData/>
  <drawing r:id="rId1"/>
</worksheet>
</file>

<file path=xl/worksheets/sheet5.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sheetData/>
  <drawing r:id="rId1"/>
</worksheet>
</file>

<file path=xl/worksheets/sheet6.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sheetData/>
  <drawing r:id="rId1"/>
</worksheet>
</file>

<file path=xl/worksheets/sheet7.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sheetData/>
  <drawing r:id="rId1"/>
</worksheet>
</file>

<file path=xl/worksheets/sheet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Nombre Resolutor</t>
        </is>
      </c>
      <c r="B1" s="1" t="inlineStr">
        <is>
          <t>Cantidad</t>
        </is>
      </c>
    </row>
    <row r="2">
      <c r="A2" s="2" t="inlineStr">
        <is>
          <t>ANDERSON JULIAN RATIVA RAMIREZ</t>
        </is>
      </c>
      <c r="B2" s="2">
        <v>9</v>
      </c>
    </row>
    <row r="3">
      <c r="A3" s="2" t="inlineStr">
        <is>
          <t>DANIEL ALEJANDRO BORDA MESTIZO</t>
        </is>
      </c>
      <c r="B3" s="2">
        <v>7</v>
      </c>
    </row>
    <row r="4">
      <c r="A4" s="2" t="inlineStr">
        <is>
          <t>DILAN SAMIR LOPEZ ARAUJO</t>
        </is>
      </c>
      <c r="B4" s="2">
        <v>7</v>
      </c>
    </row>
    <row r="5">
      <c r="A5" s="2" t="inlineStr">
        <is>
          <t>SANTIAGO PERDOMO ACERO</t>
        </is>
      </c>
      <c r="B5" s="2">
        <v>6</v>
      </c>
    </row>
    <row r="6">
      <c r="A6" s="2" t="inlineStr">
        <is>
          <t>FABIAN JESSID PASTRANA AGUIRRE</t>
        </is>
      </c>
      <c r="B6" s="2">
        <v>4</v>
      </c>
    </row>
    <row r="7">
      <c r="A7" s="2" t="inlineStr">
        <is>
          <t>GERLYN RENTERIA OROZCO</t>
        </is>
      </c>
      <c r="B7" s="2">
        <v>4</v>
      </c>
    </row>
    <row r="8">
      <c r="A8" s="2" t="inlineStr">
        <is>
          <t>JOSE ARLEY SANCHEZ COLORADO</t>
        </is>
      </c>
      <c r="B8" s="2">
        <v>4</v>
      </c>
    </row>
    <row r="9">
      <c r="A9" s="2" t="inlineStr">
        <is>
          <t>EDWIN ALEXIS PATIÑO TEJEDOR</t>
        </is>
      </c>
      <c r="B9" s="2">
        <v>3</v>
      </c>
    </row>
    <row r="10">
      <c r="A10" s="2" t="inlineStr">
        <is>
          <t>JUAN CAMILO RINCON BLANCO</t>
        </is>
      </c>
      <c r="B10" s="2">
        <v>3</v>
      </c>
    </row>
    <row r="11">
      <c r="A11" s="2" t="inlineStr">
        <is>
          <t>KEVIN ALEXIS GARCIA GUARACA</t>
        </is>
      </c>
      <c r="B11" s="2">
        <v>3</v>
      </c>
    </row>
    <row r="12">
      <c r="A12" s="2" t="inlineStr">
        <is>
          <t>CAMILO ANDRES GONZALEZ NARVAEZ</t>
        </is>
      </c>
      <c r="B12" s="2">
        <v>2</v>
      </c>
    </row>
    <row r="13">
      <c r="A13" s="2" t="inlineStr">
        <is>
          <t>JEISON ANDRES REYES ROMERO</t>
        </is>
      </c>
      <c r="B13" s="2">
        <v>2</v>
      </c>
    </row>
    <row r="14">
      <c r="A14" s="2" t="inlineStr">
        <is>
          <t>KAREN JULIETH ALVARADO ALVAREZ</t>
        </is>
      </c>
      <c r="B14" s="2">
        <v>2</v>
      </c>
    </row>
    <row r="15">
      <c r="A15" s="2" t="inlineStr">
        <is>
          <t>NICK STEVE TRIANA LOPEZ</t>
        </is>
      </c>
      <c r="B15" s="2">
        <v>2</v>
      </c>
    </row>
    <row r="16">
      <c r="A16" s="2" t="inlineStr">
        <is>
          <t>ALEX STEVEN RODRIGUEZ CARDENAS</t>
        </is>
      </c>
      <c r="B16" s="2">
        <v>1</v>
      </c>
    </row>
    <row r="17">
      <c r="A17" s="2" t="inlineStr">
        <is>
          <t>CESAR ANDRES QUESADA VIQUE</t>
        </is>
      </c>
      <c r="B17" s="2">
        <v>1</v>
      </c>
    </row>
    <row r="18">
      <c r="A18" s="2" t="inlineStr">
        <is>
          <t>DANIEL CAMILO BARRERO GALINDO</t>
        </is>
      </c>
      <c r="B18" s="2">
        <v>1</v>
      </c>
    </row>
    <row r="19">
      <c r="A19" s="2" t="inlineStr">
        <is>
          <t>LUIS HERNANDO BELTRAN CORRALES</t>
        </is>
      </c>
      <c r="B19" s="2">
        <v>1</v>
      </c>
    </row>
    <row r="20">
      <c r="A20" s="2" t="inlineStr">
        <is>
          <t>MICHAEL STEVEN FRAILE GOMEZ</t>
        </is>
      </c>
      <c r="B20" s="2">
        <v>1</v>
      </c>
    </row>
    <row r="21">
      <c r="A21" s="2" t="inlineStr">
        <is>
          <t>MIGUEL JOSE NUÑEZ MARQUEZ</t>
        </is>
      </c>
      <c r="B21" s="2">
        <v>1</v>
      </c>
    </row>
    <row r="22">
      <c r="A22" s="2" t="inlineStr">
        <is>
          <t>SEBASTIAN JERONIMO DELGADO CASTRO</t>
        </is>
      </c>
      <c r="B22" s="2">
        <v>1</v>
      </c>
    </row>
  </sheetData>
</worksheet>
</file>

<file path=xl/worksheets/sheet9.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Grupo</t>
        </is>
      </c>
      <c r="B1" s="1" t="inlineStr">
        <is>
          <t>Cantidad</t>
        </is>
      </c>
    </row>
    <row r="2">
      <c r="A2" s="2" t="inlineStr">
        <is>
          <t>ZONA CENTRO</t>
        </is>
      </c>
      <c r="B2" s="2">
        <v>36</v>
      </c>
    </row>
    <row r="3">
      <c r="A3" s="2" t="inlineStr">
        <is>
          <t>SPT CABECERA CARRERA 69</t>
        </is>
      </c>
      <c r="B3" s="2">
        <v>5</v>
      </c>
    </row>
    <row r="4">
      <c r="A4" s="2" t="inlineStr">
        <is>
          <t>SPT ESCRITORIO VIRTUAL</t>
        </is>
      </c>
      <c r="B4" s="2">
        <v>4</v>
      </c>
    </row>
    <row r="5">
      <c r="A5" s="2" t="inlineStr">
        <is>
          <t>SPT ZONA CENTRO</t>
        </is>
      </c>
      <c r="B5" s="2">
        <v>3</v>
      </c>
    </row>
    <row r="6">
      <c r="A6" s="2" t="inlineStr">
        <is>
          <t>SPT CABECERA CALLE 26</t>
        </is>
      </c>
      <c r="B6" s="2">
        <v>2</v>
      </c>
    </row>
    <row r="7">
      <c r="A7" s="2" t="inlineStr">
        <is>
          <t>SPT CABECERA CENTRO MAYOR</t>
        </is>
      </c>
      <c r="B7" s="2">
        <v>2</v>
      </c>
    </row>
    <row r="8">
      <c r="A8" s="2" t="inlineStr">
        <is>
          <t>SPT ZONA NORTE</t>
        </is>
      </c>
      <c r="B8" s="2">
        <v>2</v>
      </c>
    </row>
    <row r="9">
      <c r="A9" s="2" t="inlineStr">
        <is>
          <t>ZONA NORTE</t>
        </is>
      </c>
      <c r="B9" s="2">
        <v>2</v>
      </c>
    </row>
    <row r="10">
      <c r="A10" s="2" t="inlineStr">
        <is>
          <t>ZONA ORIENTE</t>
        </is>
      </c>
      <c r="B10" s="2">
        <v>2</v>
      </c>
    </row>
    <row r="11">
      <c r="A11" s="2" t="inlineStr">
        <is>
          <t>SPT CABECERA 1 MAYO</t>
        </is>
      </c>
      <c r="B11" s="2">
        <v>1</v>
      </c>
    </row>
    <row r="12">
      <c r="A12" s="2" t="inlineStr">
        <is>
          <t>SPT CABECERA KENNEDY</t>
        </is>
      </c>
      <c r="B12" s="2">
        <v>1</v>
      </c>
    </row>
    <row r="13">
      <c r="A13" s="2" t="inlineStr">
        <is>
          <t>SPT REGIONALES</t>
        </is>
      </c>
      <c r="B13" s="2">
        <v>1</v>
      </c>
    </row>
    <row r="14">
      <c r="A14" s="2" t="inlineStr">
        <is>
          <t>SPT ZONA OCCIDENTE</t>
        </is>
      </c>
      <c r="B14" s="2">
        <v>1</v>
      </c>
    </row>
    <row r="15">
      <c r="A15" s="2" t="inlineStr">
        <is>
          <t>SPT ZONA SURORIENTE</t>
        </is>
      </c>
      <c r="B15" s="2">
        <v>1</v>
      </c>
    </row>
    <row r="16">
      <c r="A16" s="2" t="inlineStr">
        <is>
          <t>ZONA NOROCCIDENTE</t>
        </is>
      </c>
      <c r="B16" s="2">
        <v>1</v>
      </c>
    </row>
    <row r="17">
      <c r="A17" s="2" t="inlineStr">
        <is>
          <t>ZONA OCCIDENTE</t>
        </is>
      </c>
      <c r="B17" s="2">
        <v>1</v>
      </c>
    </row>
  </sheetData>
</worksheet>
</file>

<file path=xl/worksheets/sheet10.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sheetData/>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sheetData/>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sheetData/>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sheetData/>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sheetData/>
  <drawing r:id="rId1"/>
</worksheet>
</file>

<file path=xl/worksheets/sheet1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Nombre Resolutor</t>
        </is>
      </c>
      <c r="B1" s="1" t="inlineStr">
        <is>
          <t>Cantidad</t>
        </is>
      </c>
    </row>
    <row r="2">
      <c r="A2" s="2" t="inlineStr">
        <is>
          <t>ALEX STEVEN RODRIGUEZ CARDENAS</t>
        </is>
      </c>
      <c r="B2" s="2">
        <v>1</v>
      </c>
    </row>
    <row r="3">
      <c r="A3" s="2" t="inlineStr">
        <is>
          <t>ANDERSON JULIAN RATIVA RAMIREZ</t>
        </is>
      </c>
      <c r="B3" s="2">
        <v>2</v>
      </c>
    </row>
    <row r="4">
      <c r="A4" s="2" t="inlineStr">
        <is>
          <t>CAMILO ANDRES GONZALEZ NARVAEZ</t>
        </is>
      </c>
      <c r="B4" s="2">
        <v>1</v>
      </c>
    </row>
    <row r="5">
      <c r="A5" s="2" t="inlineStr">
        <is>
          <t>DANIEL ALEJANDRO BORDA MESTIZO</t>
        </is>
      </c>
      <c r="B5" s="2">
        <v>2</v>
      </c>
    </row>
    <row r="6">
      <c r="A6" s="2" t="inlineStr">
        <is>
          <t>DAVID ESTEBAN DIAZ LLANOS</t>
        </is>
      </c>
      <c r="B6" s="2">
        <v>1</v>
      </c>
    </row>
    <row r="7">
      <c r="A7" s="2" t="inlineStr">
        <is>
          <t>DILAN SAMIR LOPEZ ARAUJO</t>
        </is>
      </c>
      <c r="B7" s="2">
        <v>2</v>
      </c>
    </row>
    <row r="8">
      <c r="A8" s="2" t="inlineStr">
        <is>
          <t>EDWIN ALEXIS PATIÑO TEJEDOR</t>
        </is>
      </c>
      <c r="B8" s="2">
        <v>4</v>
      </c>
    </row>
    <row r="9">
      <c r="A9" s="2" t="inlineStr">
        <is>
          <t>FABIAN JESSID PASTRANA AGUIRRE</t>
        </is>
      </c>
      <c r="B9" s="2">
        <v>2</v>
      </c>
    </row>
    <row r="10">
      <c r="A10" s="2" t="inlineStr">
        <is>
          <t>GERLYN RENTERIA OROZCO</t>
        </is>
      </c>
      <c r="B10" s="2">
        <v>3</v>
      </c>
    </row>
    <row r="11">
      <c r="A11" s="2" t="inlineStr">
        <is>
          <t>IVAN FELIPE GARCIA MANRIQUE</t>
        </is>
      </c>
      <c r="B11" s="2">
        <v>1</v>
      </c>
    </row>
    <row r="12">
      <c r="A12" s="2" t="inlineStr">
        <is>
          <t>JEFFERSON ESCOBAR ALDANA</t>
        </is>
      </c>
      <c r="B12" s="2">
        <v>6</v>
      </c>
    </row>
    <row r="13">
      <c r="A13" s="2" t="inlineStr">
        <is>
          <t>JEISON ANDRES REYES ROMERO</t>
        </is>
      </c>
      <c r="B13" s="2">
        <v>1</v>
      </c>
    </row>
    <row r="14">
      <c r="A14" s="2" t="inlineStr">
        <is>
          <t>JOSE ARLEY SANCHEZ COLORADO</t>
        </is>
      </c>
      <c r="B14" s="2">
        <v>1</v>
      </c>
    </row>
    <row r="15">
      <c r="A15" s="2" t="inlineStr">
        <is>
          <t>JUAN CAMILO RINCON BLANCO</t>
        </is>
      </c>
      <c r="B15" s="2">
        <v>3</v>
      </c>
    </row>
    <row r="16">
      <c r="A16" s="2" t="inlineStr">
        <is>
          <t>JULIAN HUMBERTO MOLINA BERNAL</t>
        </is>
      </c>
      <c r="B16" s="2">
        <v>3</v>
      </c>
    </row>
    <row r="17">
      <c r="A17" s="2" t="inlineStr">
        <is>
          <t>KEVIN ALEXIS GARCIA GUARACA</t>
        </is>
      </c>
      <c r="B17" s="2">
        <v>5</v>
      </c>
    </row>
    <row r="18">
      <c r="A18" s="2" t="inlineStr">
        <is>
          <t>LUIS HERNANDO BELTRAN CORRALES</t>
        </is>
      </c>
      <c r="B18" s="2">
        <v>1</v>
      </c>
    </row>
    <row r="19">
      <c r="A19" s="2" t="inlineStr">
        <is>
          <t>MARIA FERNANDA PEREIRA BUENO</t>
        </is>
      </c>
      <c r="B19" s="2">
        <v>2</v>
      </c>
    </row>
    <row r="20">
      <c r="A20" s="2" t="inlineStr">
        <is>
          <t>MICHAEL STEVEN FRAILE GOMEZ</t>
        </is>
      </c>
      <c r="B20" s="2">
        <v>2</v>
      </c>
    </row>
    <row r="21">
      <c r="A21" s="2" t="inlineStr">
        <is>
          <t>NICK STEVE TRIANA LOPEZ</t>
        </is>
      </c>
      <c r="B21" s="2">
        <v>2</v>
      </c>
    </row>
  </sheetData>
</worksheet>
</file>

<file path=xl/worksheets/sheet1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Grupo</t>
        </is>
      </c>
      <c r="B1" s="1" t="inlineStr">
        <is>
          <t>Cantidad</t>
        </is>
      </c>
    </row>
    <row r="2">
      <c r="A2" s="2" t="inlineStr">
        <is>
          <t>SPT CABECERA 1 MAYO</t>
        </is>
      </c>
      <c r="B2" s="2">
        <v>1</v>
      </c>
    </row>
    <row r="3">
      <c r="A3" s="2" t="inlineStr">
        <is>
          <t>SPT CABECERA CALLE 26</t>
        </is>
      </c>
      <c r="B3" s="2">
        <v>1</v>
      </c>
    </row>
    <row r="4">
      <c r="A4" s="2" t="inlineStr">
        <is>
          <t>SPT CABECERA CALLE 42</t>
        </is>
      </c>
      <c r="B4" s="2">
        <v>1</v>
      </c>
    </row>
    <row r="5">
      <c r="A5" s="2" t="inlineStr">
        <is>
          <t>SPT CABECERA CALLE 94</t>
        </is>
      </c>
      <c r="B5" s="2">
        <v>2</v>
      </c>
    </row>
    <row r="6">
      <c r="A6" s="2" t="inlineStr">
        <is>
          <t>SPT CABECERA CARRERA 69</t>
        </is>
      </c>
      <c r="B6" s="2">
        <v>4</v>
      </c>
    </row>
    <row r="7">
      <c r="A7" s="2" t="inlineStr">
        <is>
          <t>SPT ESCRITORIO VIRTUAL</t>
        </is>
      </c>
      <c r="B7" s="2">
        <v>5</v>
      </c>
    </row>
    <row r="8">
      <c r="A8" s="2" t="inlineStr">
        <is>
          <t>SPT REGIONALES</t>
        </is>
      </c>
      <c r="B8" s="2">
        <v>2</v>
      </c>
    </row>
    <row r="9">
      <c r="A9" s="2" t="inlineStr">
        <is>
          <t>SPT ZONA CENTRO</t>
        </is>
      </c>
      <c r="B9" s="2">
        <v>3</v>
      </c>
    </row>
    <row r="10">
      <c r="A10" s="2" t="inlineStr">
        <is>
          <t>SPT ZONA NORTE</t>
        </is>
      </c>
      <c r="B10" s="2">
        <v>4</v>
      </c>
    </row>
    <row r="11">
      <c r="A11" s="2" t="inlineStr">
        <is>
          <t>SPT ZONA SURORIENTE</t>
        </is>
      </c>
      <c r="B11" s="2">
        <v>4</v>
      </c>
    </row>
    <row r="12">
      <c r="A12" s="2" t="inlineStr">
        <is>
          <t>ZONA CENTRO</t>
        </is>
      </c>
      <c r="B12" s="2">
        <v>13</v>
      </c>
    </row>
    <row r="13">
      <c r="A13" s="2" t="inlineStr">
        <is>
          <t>ZONA NORTE</t>
        </is>
      </c>
      <c r="B13" s="2">
        <v>1</v>
      </c>
    </row>
    <row r="14">
      <c r="A14" s="2" t="inlineStr">
        <is>
          <t>ZONA OCCIDENTE</t>
        </is>
      </c>
      <c r="B14" s="2">
        <v>1</v>
      </c>
    </row>
    <row r="15">
      <c r="A15" s="2" t="inlineStr">
        <is>
          <t>ZONA SURORIENTE</t>
        </is>
      </c>
      <c r="B15" s="2">
        <v>3</v>
      </c>
    </row>
  </sheetData>
</worksheet>
</file>

<file path=xl/worksheets/sheet1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4.16" customWidth="1"/>
    <col min="2" max="2" width="41.536" customWidth="1"/>
    <col min="3" max="3" width="28.791999999999998" customWidth="1"/>
    <col min="5" max="5" width="21.003999999999998" customWidth="1"/>
  </cols>
  <sheetData>
    <row r="1">
      <c r="A1" s="1" t="inlineStr">
        <is>
          <t>🚦</t>
        </is>
      </c>
      <c r="B1" s="1" t="inlineStr">
        <is>
          <t>No Caso</t>
        </is>
      </c>
      <c r="C1" s="1" t="inlineStr">
        <is>
          <t>SLA Vencido</t>
        </is>
      </c>
      <c r="D1" s="1" t="inlineStr">
        <is>
          <t>Resumen</t>
        </is>
      </c>
      <c r="E1" s="1" t="inlineStr">
        <is>
          <t>Estado</t>
        </is>
      </c>
      <c r="F1" s="1" t="inlineStr">
        <is>
          <t>Descripción</t>
        </is>
      </c>
      <c r="G1" s="1" t="inlineStr">
        <is>
          <t>Categoria</t>
        </is>
      </c>
      <c r="H1" s="1" t="inlineStr">
        <is>
          <t>Fuente Reportada</t>
        </is>
      </c>
      <c r="I1" s="1" t="inlineStr">
        <is>
          <t>Prioridad</t>
        </is>
      </c>
      <c r="J1" s="1" t="inlineStr">
        <is>
          <t>Fecha de creación</t>
        </is>
      </c>
      <c r="K1" s="1" t="inlineStr">
        <is>
          <t>Asignado a</t>
        </is>
      </c>
      <c r="L1" s="1" t="inlineStr">
        <is>
          <t>Grupo</t>
        </is>
      </c>
      <c r="M1" s="1" t="inlineStr">
        <is>
          <t>Organización de Soporte</t>
        </is>
      </c>
      <c r="N1" s="1" t="inlineStr">
        <is>
          <t>CI</t>
        </is>
      </c>
      <c r="O1" s="1" t="inlineStr">
        <is>
          <t>Frente de Negocio</t>
        </is>
      </c>
      <c r="P1" s="1" t="inlineStr">
        <is>
          <t>Causa</t>
        </is>
      </c>
      <c r="Q1" s="1" t="inlineStr">
        <is>
          <t>InstanceId</t>
        </is>
      </c>
      <c r="R1" s="1" t="inlineStr">
        <is>
          <t>Antiguedad</t>
        </is>
      </c>
      <c r="S1" s="1" t="inlineStr">
        <is>
          <t>Fecha de Reactivación Pendiente</t>
        </is>
      </c>
      <c r="T1" s="1" t="inlineStr">
        <is>
          <t>Tiempo Incumplimiento previsto</t>
        </is>
      </c>
    </row>
    <row r="2">
      <c r="A2" s="2" t="inlineStr">
        <is>
          <t>🔴</t>
        </is>
      </c>
      <c r="B2" s="3" t="str">
        <f>HYPERLINK("https://compensar-smartit.onbmc.com/smartit/app/#/incident/IDGGSWY0I24JCAT7T48GT7T48GAF6X","INC000000150832")</f>
        <v>INC000000150832</v>
      </c>
      <c r="C2" s="2" t="inlineStr">
        <is>
          <t>Si</t>
        </is>
      </c>
      <c r="D2" s="2" t="inlineStr">
        <is>
          <t>ERROR EN EL APLICATIVO SAP AL MOMENTO DE CONSULTAR HISTORIAL CLICNICA DE PACIENTE</t>
        </is>
      </c>
      <c r="E2" s="2" t="inlineStr">
        <is>
          <t>En curso</t>
        </is>
      </c>
      <c r="F2" s="2" t="inlineStr">
        <is>
          <t>Usuaria: Angela Maria Sanchez Guevara
Informa: Usuaria reporta error en el aplicativo SAP al momento de consultar historial clínica en SAP y después de dar clic en aceptar el error las casa completamente del aplicativo SAP.
Teléfono: 3134905241
Ubicación: FACATATIVA PISO 3 CONSULTORIO 1
Tiempo: 11:44 07/07/2026
Impacto:  SAP
Evidencias: Se adjunta evidencia para cierre de caso</t>
        </is>
      </c>
      <c r="G2" s="2" t="inlineStr">
        <is>
          <t>SERVICIOS DE TECNOLOGIA-APLICACIONES DE NEGOCIO-ERROR FUNCIONALIDAD APLICACION</t>
        </is>
      </c>
      <c r="H2" s="2" t="inlineStr">
        <is>
          <t>Telefono</t>
        </is>
      </c>
      <c r="I2" s="2" t="inlineStr">
        <is>
          <t>Baja</t>
        </is>
      </c>
      <c r="J2" s="4">
        <v>46210.51008101852</v>
      </c>
      <c r="K2" s="2" t="inlineStr">
        <is>
          <t>NICK STEVE TRIANA LOPEZ</t>
        </is>
      </c>
      <c r="L2" s="2" t="inlineStr">
        <is>
          <t>SPT ZONA OCCIDENTE</t>
        </is>
      </c>
      <c r="M2" s="2" t="inlineStr">
        <is>
          <t>SERVICIOS DE TI</t>
        </is>
      </c>
      <c r="N2" s="2" t="inlineStr">
        <is>
          <t>SWPR136 SAP</t>
        </is>
      </c>
      <c r="O2" s="2" t="inlineStr">
        <is>
          <t>SALUD</t>
        </is>
      </c>
      <c r="P2" s="2"/>
      <c r="Q2" s="2" t="inlineStr">
        <is>
          <t>IDGGSWY0I24JCAT7T48GT7T48GAF6X</t>
        </is>
      </c>
      <c r="R2" s="2" t="inlineStr">
        <is>
          <t>c) 11-30</t>
        </is>
      </c>
      <c r="S2" s="2" t="inlineStr">
        <is>
          <t>-</t>
        </is>
      </c>
      <c r="T2" s="2" t="inlineStr">
        <is>
          <t>-</t>
        </is>
      </c>
    </row>
    <row r="3">
      <c r="A3" s="2" t="inlineStr">
        <is>
          <t>🟢</t>
        </is>
      </c>
      <c r="B3" s="3" t="str">
        <f>HYPERLINK("https://compensar-smartit.onbmc.com/smartit/app/#/incident/IDGH043EBA7IUAT7VMI1T7VMI1K5VU","INC000000151204")</f>
        <v>INC000000151204</v>
      </c>
      <c r="C3" s="2" t="inlineStr">
        <is>
          <t>No</t>
        </is>
      </c>
      <c r="D3" s="2" t="inlineStr">
        <is>
          <t>DESCARTES DE PRIMER NIVEL SEDE CHIA SAN ROQUE</t>
        </is>
      </c>
      <c r="E3" s="2" t="inlineStr">
        <is>
          <t>Pendiente</t>
        </is>
      </c>
      <c r="F3" s="2" t="inlineStr">
        <is>
          <t>Usuario: (Leonardo Abello) - NOC Network Operations Center
Informa: Usuario solicita descartes de primer nivel para la sede de CHIA SAN ROQUE.
Cedula: 1049619446
Celular: 6018418844
Ubicación: CHIA SAN ROQUE
Numero de activo del equipo AP-CHIA-SR-04 S/N: Q2LD-58UZ-4Z4R
Impacto: RED</t>
        </is>
      </c>
      <c r="G3" s="2" t="inlineStr">
        <is>
          <t>SERVICIOS DE TECNOLOGIA-REDES-FALLA CLIENTE RED INALAMBRICA</t>
        </is>
      </c>
      <c r="H3" s="2" t="inlineStr">
        <is>
          <t>Chat</t>
        </is>
      </c>
      <c r="I3" s="2" t="inlineStr">
        <is>
          <t>Baja</t>
        </is>
      </c>
      <c r="J3" s="4">
        <v>46211.706342592595</v>
      </c>
      <c r="K3" s="2" t="inlineStr">
        <is>
          <t>MIGUEL JOSE NUÑEZ MARQUEZ</t>
        </is>
      </c>
      <c r="L3" s="2" t="inlineStr">
        <is>
          <t>SPT ZONA NORTE</t>
        </is>
      </c>
      <c r="M3" s="2" t="inlineStr">
        <is>
          <t>SERVICIOS DE TI</t>
        </is>
      </c>
      <c r="N3" s="2" t="inlineStr">
        <is>
          <t>INTERNET</t>
        </is>
      </c>
      <c r="O3" s="2" t="inlineStr">
        <is>
          <t>SALUD</t>
        </is>
      </c>
      <c r="P3" s="2"/>
      <c r="Q3" s="2" t="inlineStr">
        <is>
          <t>IDGH043EBA7IUAT7VMI1T7VMI1K5VU</t>
        </is>
      </c>
      <c r="R3" s="2" t="inlineStr">
        <is>
          <t>c) 11-30</t>
        </is>
      </c>
      <c r="S3" s="2" t="inlineStr">
        <is>
          <t>-</t>
        </is>
      </c>
      <c r="T3" s="2" t="inlineStr">
        <is>
          <t>-</t>
        </is>
      </c>
    </row>
    <row r="4">
      <c r="A4" s="2" t="inlineStr">
        <is>
          <t>🔴</t>
        </is>
      </c>
      <c r="B4" s="3" t="str">
        <f>HYPERLINK("https://compensar-smartit.onbmc.com/smartit/app/#/incident/IDGIBMZTENYZ6AT81NUAT81NUANBBG","INC000000152668")</f>
        <v>INC000000152668</v>
      </c>
      <c r="C4" s="2" t="inlineStr">
        <is>
          <t>Si</t>
        </is>
      </c>
      <c r="D4" s="2" t="inlineStr">
        <is>
          <t>Poco espacio en disco del equipo de cómputo</t>
        </is>
      </c>
      <c r="E4" s="2" t="inlineStr">
        <is>
          <t>En curso</t>
        </is>
      </c>
      <c r="F4" s="2" t="inlineStr">
        <is>
          <t>Usuario: La usuaria JULIETH KATHERIN GUTIERREZ BALLEN se comunica con la mesa de servicio para notificar que su equipo presenta poco espacio de almacenamiento.
Teléfono: 3212066976
Informa: La usuaria informa que su equipo presenta poco espacio en disco. Se realiza validación remota y se evidencia que el disco de almacenamiento se encuentra al límite de su capacidad. Se ejecuta el borrado de archivos temporales; sin embargo, se confirma que el disco continúa en su tope de capacidad.
Ubicación: ubate, Cundinamarca, piso 1, módulo 1.
Tiempo: 8:34 a. m. 17/07/2026.
Impacto: 1.
Placa de equipo: C005616.
Evidencias:
1. Se realiza conexión remota para validar la novedad reportada.
2. Se verifica el estado del almacenamiento del equipo.
3. Se evidencia que el disco se encuentra al límite de su capacidad.
4. Se realiza el borrado de archivos temporales.
5. Se confirma que el disco continúa en su tope de capacidad.
6. Se documenta la novedad para continuar con la gestión correspondiente.</t>
        </is>
      </c>
      <c r="G4" s="2" t="inlineStr">
        <is>
          <t>SERVICIOS DE TECNOLOGIA-SOPORTE EQUIPOS DE COMPUTO-LENTITUD</t>
        </is>
      </c>
      <c r="H4" s="2" t="inlineStr">
        <is>
          <t>Telefono</t>
        </is>
      </c>
      <c r="I4" s="2" t="inlineStr">
        <is>
          <t>Baja</t>
        </is>
      </c>
      <c r="J4" s="4">
        <v>46220.37252314815</v>
      </c>
      <c r="K4" s="2" t="inlineStr">
        <is>
          <t>DANIEL CAMILO BARRERO GALINDO</t>
        </is>
      </c>
      <c r="L4" s="2" t="inlineStr">
        <is>
          <t>SPT CABECERA CALLE 26</t>
        </is>
      </c>
      <c r="M4" s="2" t="inlineStr">
        <is>
          <t>SERVICIOS DE TI</t>
        </is>
      </c>
      <c r="N4" s="2" t="inlineStr">
        <is>
          <t>C005616</t>
        </is>
      </c>
      <c r="O4" s="2" t="inlineStr">
        <is>
          <t>SALUD</t>
        </is>
      </c>
      <c r="P4" s="2"/>
      <c r="Q4" s="2" t="inlineStr">
        <is>
          <t>IDGIBMZTENYZ6AT81NUAT81NUANBBG</t>
        </is>
      </c>
      <c r="R4" s="2" t="inlineStr">
        <is>
          <t>c) 11-30</t>
        </is>
      </c>
      <c r="S4" s="2" t="inlineStr">
        <is>
          <t>-</t>
        </is>
      </c>
      <c r="T4" s="2" t="inlineStr">
        <is>
          <t>-</t>
        </is>
      </c>
    </row>
    <row r="5">
      <c r="A5" s="2" t="inlineStr">
        <is>
          <t>🔴</t>
        </is>
      </c>
      <c r="B5" s="3" t="str">
        <f>HYPERLINK("https://compensar-smartit.onbmc.com/smartit/app/#/incident/AGGGSWY0I24JCAT8MUZRT8MUZR1X0O","INC000000153727")</f>
        <v>INC000000153727</v>
      </c>
      <c r="C5" s="2" t="inlineStr">
        <is>
          <t>Si</t>
        </is>
      </c>
      <c r="D5" s="2" t="inlineStr">
        <is>
          <t>Falla en Equipo</t>
        </is>
      </c>
      <c r="E5" s="2" t="inlineStr">
        <is>
          <t>En curso</t>
        </is>
      </c>
      <c r="F5" s="2" t="inlineStr">
        <is>
          <t>Ubicación para atención del Servicio: HOSPITAL UNIVERSITARIO SAN RAFAEL COMPENSAR
Número de contacto para la atención del servicio: 3118964071
Frente: SALUD
Falla: DAÑO FISICO
¿Cual es el dispositivo que presenta la falla?: [OTRO]
Nombre de equipo (inventario o placa): 15280000607
Descripción del incidente o falla: Buenos dias agradezco su ayuda con la revision del equipo de escritorio ubicado en clinica san rafael area administrativa laboratorio clinico piso 1 ya que el equipo al parecer no tiene red compensar, este equipo venia funcionando normalmente pero de un dia para otro ya no podemos conectarnos contacto zully 3118964071
</t>
        </is>
      </c>
      <c r="G5" s="2" t="inlineStr">
        <is>
          <t>SERVICIOS DE TECNOLOGIA-SOPORTE EQUIPOS DE COMPUTO-FALLA</t>
        </is>
      </c>
      <c r="H5" s="2" t="inlineStr">
        <is>
          <t>Portal - Web</t>
        </is>
      </c>
      <c r="I5" s="2" t="inlineStr">
        <is>
          <t>Baja</t>
        </is>
      </c>
      <c r="J5" s="4">
        <v>46226.4165625</v>
      </c>
      <c r="K5" s="2" t="inlineStr">
        <is>
          <t>MICHAEL STEVEN FRAILE GOMEZ</t>
        </is>
      </c>
      <c r="L5" s="2" t="inlineStr">
        <is>
          <t>SPT ZONA SURORIENTE</t>
        </is>
      </c>
      <c r="M5" s="2" t="inlineStr">
        <is>
          <t>SERVICIOS DE TI</t>
        </is>
      </c>
      <c r="N5" s="2"/>
      <c r="O5" s="2" t="inlineStr">
        <is>
          <t>SALUD</t>
        </is>
      </c>
      <c r="P5" s="2"/>
      <c r="Q5" s="2" t="inlineStr">
        <is>
          <t>AGGGSWY0I24JCAT8MUZRT8MUZR1X0O</t>
        </is>
      </c>
      <c r="R5" s="2" t="inlineStr">
        <is>
          <t>b) 5-10</t>
        </is>
      </c>
      <c r="S5" s="2" t="inlineStr">
        <is>
          <t>-</t>
        </is>
      </c>
      <c r="T5" s="2" t="inlineStr">
        <is>
          <t>-</t>
        </is>
      </c>
    </row>
    <row r="6">
      <c r="A6" s="2" t="inlineStr">
        <is>
          <t>🟢</t>
        </is>
      </c>
      <c r="B6" s="3" t="str">
        <f>HYPERLINK("https://compensar-smartit.onbmc.com/smartit/app/#/incident/IDGIBMZTENYZ6AT8PFDKT8PFDKQ259","INC000000153897")</f>
        <v>INC000000153897</v>
      </c>
      <c r="C6" s="2" t="inlineStr">
        <is>
          <t>No</t>
        </is>
      </c>
      <c r="D6" s="2" t="inlineStr">
        <is>
          <t>Falla  Equipo memoria llena</t>
        </is>
      </c>
      <c r="E6" s="2" t="inlineStr">
        <is>
          <t>Pendiente</t>
        </is>
      </c>
      <c r="F6" s="2" t="inlineStr">
        <is>
          <t>Usuario:CARLOS ANDRES ROMERO GUEVARA
Informa:Falla memoria llena
Ubicación:empresarial
NOTA: colaborador solicita personal de sitio
Tiempo:21-07-2026  3:35pm  piso 3 bloque f
Impacto: 1         
Evidencias: NO</t>
        </is>
      </c>
      <c r="G6" s="2" t="inlineStr">
        <is>
          <t>SERVICIOS DE TECNOLOGIA-SOPORTE EQUIPOS DE COMPUTO-FALLA</t>
        </is>
      </c>
      <c r="H6" s="2" t="inlineStr">
        <is>
          <t>Telefono</t>
        </is>
      </c>
      <c r="I6" s="2" t="inlineStr">
        <is>
          <t>Baja</t>
        </is>
      </c>
      <c r="J6" s="4">
        <v>46227.648726851854</v>
      </c>
      <c r="K6" s="2" t="inlineStr">
        <is>
          <t>DANIEL ALEJANDRO BORDA MESTIZO</t>
        </is>
      </c>
      <c r="L6" s="2" t="inlineStr">
        <is>
          <t>ZONA CENTRO</t>
        </is>
      </c>
      <c r="M6" s="2" t="inlineStr">
        <is>
          <t>SERVICIOS DE TI</t>
        </is>
      </c>
      <c r="N6" s="2" t="inlineStr">
        <is>
          <t>SISTEMA OPERATIVO WINDOWS</t>
        </is>
      </c>
      <c r="O6" s="2" t="inlineStr">
        <is>
          <t>SALUD</t>
        </is>
      </c>
      <c r="P6" s="2"/>
      <c r="Q6" s="2" t="inlineStr">
        <is>
          <t>IDGIBMZTENYZ6AT8PFDKT8PFDKQ259</t>
        </is>
      </c>
      <c r="R6" s="2" t="inlineStr">
        <is>
          <t>b) 5-10</t>
        </is>
      </c>
      <c r="S6" s="2" t="inlineStr">
        <is>
          <t>30/07/2026 21:00:00</t>
        </is>
      </c>
      <c r="T6" s="2" t="inlineStr">
        <is>
          <t>-</t>
        </is>
      </c>
    </row>
    <row r="7">
      <c r="A7" s="2" t="inlineStr">
        <is>
          <t>🟢</t>
        </is>
      </c>
      <c r="B7" s="3" t="str">
        <f>HYPERLINK("https://compensar-smartit.onbmc.com/smartit/app/#/incident/AGGIBMZTENYZ6AT8Q87GT8Q87GJYQI","INC000000154027")</f>
        <v>INC000000154027</v>
      </c>
      <c r="C7" s="2" t="inlineStr">
        <is>
          <t>No</t>
        </is>
      </c>
      <c r="D7" s="2" t="inlineStr">
        <is>
          <t>Falla en Equipo</t>
        </is>
      </c>
      <c r="E7" s="2" t="inlineStr">
        <is>
          <t>Pendiente</t>
        </is>
      </c>
      <c r="F7" s="2" t="inlineStr">
        <is>
          <t>Ubicación para atención del Servicio: CENTRO MAYOR PISO 3 OFICINA NATACION
Número de contacto para la atención del servicio: 3118458619
Frente: BIENESTAR Y DESARROLLO SOCIAL
Falla: NO ENCIENDE/NO FUNCIONA
¿Cual es el dispositivo que presenta la falla?: [PORTATIL/PC]
Nombre de equipo (inventario o placa): 152800012593
Descripción del incidente o falla: Buen día,
agradezco revisar la Tablet  numero 152800012593 se reinicia sola.
muchas gracias
</t>
        </is>
      </c>
      <c r="G7" s="2" t="inlineStr">
        <is>
          <t>SERVICIOS DE TECNOLOGIA-SOPORTE EQUIPOS DE COMPUTO-FALLA</t>
        </is>
      </c>
      <c r="H7" s="2" t="inlineStr">
        <is>
          <t>Portal - Web</t>
        </is>
      </c>
      <c r="I7" s="2" t="inlineStr">
        <is>
          <t>Baja</t>
        </is>
      </c>
      <c r="J7" s="4">
        <v>46228.388819444444</v>
      </c>
      <c r="K7" s="2" t="inlineStr">
        <is>
          <t>KAREN JULIETH ALVARADO ALVAREZ</t>
        </is>
      </c>
      <c r="L7" s="2" t="inlineStr">
        <is>
          <t>SPT CABECERA CENTRO MAYOR</t>
        </is>
      </c>
      <c r="M7" s="2" t="inlineStr">
        <is>
          <t>SERVICIOS DE TI</t>
        </is>
      </c>
      <c r="N7" s="2"/>
      <c r="O7" s="2" t="inlineStr">
        <is>
          <t>BIENESTAR Y DESARROLLO SOCIAL</t>
        </is>
      </c>
      <c r="P7" s="2"/>
      <c r="Q7" s="2" t="inlineStr">
        <is>
          <t>AGGIBMZTENYZ6AT8Q87GT8Q87GJYQI</t>
        </is>
      </c>
      <c r="R7" s="2" t="inlineStr">
        <is>
          <t>b) 5-10</t>
        </is>
      </c>
      <c r="S7" s="2" t="inlineStr">
        <is>
          <t>01/08/2026 17:00:00</t>
        </is>
      </c>
      <c r="T7" s="2" t="inlineStr">
        <is>
          <t>-</t>
        </is>
      </c>
    </row>
    <row r="8">
      <c r="A8" s="2" t="inlineStr">
        <is>
          <t>🟢</t>
        </is>
      </c>
      <c r="B8" s="3" t="str">
        <f>HYPERLINK("https://compensar-smartit.onbmc.com/smartit/app/#/incident/IDGIBMZTENYZ6AT8UHKGT8UHKGJWV5","INC000000154093")</f>
        <v>INC000000154093</v>
      </c>
      <c r="C8" s="2" t="inlineStr">
        <is>
          <t>No</t>
        </is>
      </c>
      <c r="D8" s="2" t="inlineStr">
        <is>
          <t>Falla Pantalla - Se muestran líneas y no deja visualizar bien</t>
        </is>
      </c>
      <c r="E8" s="2" t="inlineStr">
        <is>
          <t>Pendiente</t>
        </is>
      </c>
      <c r="F8" s="2" t="inlineStr">
        <is>
          <t>Usuaria: Nydia Lizeth Carrillo Becerra
Informa: Falla Pantalla - Se muestran líneas y no deja visualizar bien
Ubicación: Movilidad
Tiempo: 9am
Impacto: 1Usuario
Evidencias: No aplica
Activo: 0125135</t>
        </is>
      </c>
      <c r="G8" s="2" t="inlineStr">
        <is>
          <t>SERVICIOS DE TECNOLOGIA-SOPORTE EQUIPOS DE COMPUTO-FALLA</t>
        </is>
      </c>
      <c r="H8" s="2" t="inlineStr">
        <is>
          <t>Telefono</t>
        </is>
      </c>
      <c r="I8" s="2" t="inlineStr">
        <is>
          <t>Baja</t>
        </is>
      </c>
      <c r="J8" s="4">
        <v>46230.38922453704</v>
      </c>
      <c r="K8" s="2" t="inlineStr">
        <is>
          <t>JUAN CAMILO RINCON BLANCO</t>
        </is>
      </c>
      <c r="L8" s="2" t="inlineStr">
        <is>
          <t>ZONA CENTRO</t>
        </is>
      </c>
      <c r="M8" s="2" t="inlineStr">
        <is>
          <t>SERVICIOS DE TI</t>
        </is>
      </c>
      <c r="N8" s="2"/>
      <c r="O8" s="2" t="inlineStr">
        <is>
          <t>CLIENTES</t>
        </is>
      </c>
      <c r="P8" s="2"/>
      <c r="Q8" s="2" t="inlineStr">
        <is>
          <t>IDGIBMZTENYZ6AT8UHKGT8UHKGJWV5</t>
        </is>
      </c>
      <c r="R8" s="2" t="inlineStr">
        <is>
          <t>a) 0-4</t>
        </is>
      </c>
      <c r="S8" s="2" t="inlineStr">
        <is>
          <t>30/07/2026 18:00:00</t>
        </is>
      </c>
      <c r="T8" s="2" t="inlineStr">
        <is>
          <t>-</t>
        </is>
      </c>
    </row>
    <row r="9">
      <c r="A9" s="2" t="inlineStr">
        <is>
          <t>🟢</t>
        </is>
      </c>
      <c r="B9" s="3" t="str">
        <f>HYPERLINK("https://compensar-smartit.onbmc.com/smartit/app/#/incident/AGGEXM7CDZJ5AAT8U4JPT8U4JPFXKF","INC000000154293")</f>
        <v>INC000000154293</v>
      </c>
      <c r="C9" s="2" t="inlineStr">
        <is>
          <t>No</t>
        </is>
      </c>
      <c r="D9" s="2" t="inlineStr">
        <is>
          <t>Falla en Equipo - BARRANQUILLA</t>
        </is>
      </c>
      <c r="E9" s="2" t="inlineStr">
        <is>
          <t>Pendiente</t>
        </is>
      </c>
      <c r="F9" s="2" t="inlineStr">
        <is>
          <t>Ubicación para atención del Servicio: CENTRO ESPECIALIZADO CEP BARRANQUILLA
Número de contacto para la atención del servicio: 3006659048
Frente: SALUD
Falla: NO ENCIENDE/NO FUNCIONA
¿Cual es el dispositivo que presenta la falla?: [OTRO]
Nombre de equipo (inventario o placa): 152800006570
Descripción del incidente o falla: Buen dia,
Solicito de su colaboracion para realizar revision del equipo con activo 152800006570 de la sede Cep barranquilla por motivo que la red esta intermitente y no funciona el telefono IP ni la impresora zebra que estan conectados a este equipo.
</t>
        </is>
      </c>
      <c r="G9" s="2" t="inlineStr">
        <is>
          <t>SERVICIOS DE TECNOLOGIA-SOPORTE EQUIPOS DE COMPUTO-FALLA</t>
        </is>
      </c>
      <c r="H9" s="2" t="inlineStr">
        <is>
          <t>Portal - Web</t>
        </is>
      </c>
      <c r="I9" s="2" t="inlineStr">
        <is>
          <t>Baja</t>
        </is>
      </c>
      <c r="J9" s="4">
        <v>46230.48570601852</v>
      </c>
      <c r="K9" s="2" t="inlineStr">
        <is>
          <t>JEISON ANDRES REYES ROMERO</t>
        </is>
      </c>
      <c r="L9" s="2" t="inlineStr">
        <is>
          <t>ZONA ORIENTE</t>
        </is>
      </c>
      <c r="M9" s="2" t="inlineStr">
        <is>
          <t>SERVICIOS DE TI</t>
        </is>
      </c>
      <c r="N9" s="2"/>
      <c r="O9" s="2" t="inlineStr">
        <is>
          <t>SALUD</t>
        </is>
      </c>
      <c r="P9" s="2"/>
      <c r="Q9" s="2" t="inlineStr">
        <is>
          <t>AGGEXM7CDZJ5AAT8U4JPT8U4JPFXKF</t>
        </is>
      </c>
      <c r="R9" s="2" t="inlineStr">
        <is>
          <t>a) 0-4</t>
        </is>
      </c>
      <c r="S9" s="2" t="inlineStr">
        <is>
          <t>31/07/2026 20:00:00</t>
        </is>
      </c>
      <c r="T9" s="2" t="inlineStr">
        <is>
          <t>-</t>
        </is>
      </c>
    </row>
    <row r="10">
      <c r="A10" s="2" t="inlineStr">
        <is>
          <t>🔴</t>
        </is>
      </c>
      <c r="B10" s="3" t="str">
        <f>HYPERLINK("https://compensar-smartit.onbmc.com/smartit/app/#/incident/IDGIBMZTENYZ6AT8U5RQT8U5RQPAD8","INC000000154342")</f>
        <v>INC000000154342</v>
      </c>
      <c r="C10" s="2" t="inlineStr">
        <is>
          <t>Si</t>
        </is>
      </c>
      <c r="D10" s="2" t="inlineStr">
        <is>
          <t>Inconveniente carga de documentos Power BI -EVTT8</t>
        </is>
      </c>
      <c r="E10" s="2" t="inlineStr">
        <is>
          <t>En curso</t>
        </is>
      </c>
      <c r="F10" s="2" t="inlineStr">
        <is>
          <t>Usuario: DIANA CAROLINA HERNANDEZ BELTRAN
Informa: La usuaria se comunica con la Mesa de Servicio indicando que al abrir documentos de Power BI ubicados en una ruta compartida, el archivo queda en estado de carga y no avanza hasta mostrar un error. Se realizan validaciones de primer nivel sin solución del inconveniente.
Ubicación: Cra. 6
Tiempo: 12:04 27/07/2026
Impacto: Usuarios afectados 1
Placa de equipo: EVTT8
Evidencias:
1. Se recibió el reporte relacionado con la apertura de documentos de Power BI.
2. Se validó que los archivos ubicados en una ruta compartida quedan en estado de carga.
3. Se evidenció que posteriormente se genera un mensaje de error.
4. Se realizaron validaciones de primer nivel sobre el comportamiento reportado.
5. Se documentó la novedad para la gestión correspondiente.
6. Se registró la cédula de la usuaria: 53168211.
7. Se registró el teléfono de contacto: 3143218792.</t>
        </is>
      </c>
      <c r="G10" s="2" t="inlineStr">
        <is>
          <t>SERVICIOS DE TECNOLOGIA-ESCRITORIOS VIRTUALES-FALLA DE NAVEGACION</t>
        </is>
      </c>
      <c r="H10" s="2" t="inlineStr">
        <is>
          <t>Telefono</t>
        </is>
      </c>
      <c r="I10" s="2" t="inlineStr">
        <is>
          <t>Baja</t>
        </is>
      </c>
      <c r="J10" s="4">
        <v>46230.50962962963</v>
      </c>
      <c r="K10" s="2" t="inlineStr">
        <is>
          <t>FABIAN JESSID PASTRANA AGUIRRE</t>
        </is>
      </c>
      <c r="L10" s="2" t="inlineStr">
        <is>
          <t>SPT ESCRITORIO VIRTUAL</t>
        </is>
      </c>
      <c r="M10" s="2" t="inlineStr">
        <is>
          <t>SERVICIOS DE TI</t>
        </is>
      </c>
      <c r="N10" s="2" t="inlineStr">
        <is>
          <t>ESCRITORIO VIRTUAL</t>
        </is>
      </c>
      <c r="O10" s="2" t="inlineStr">
        <is>
          <t>SALUD</t>
        </is>
      </c>
      <c r="P10" s="2"/>
      <c r="Q10" s="2" t="inlineStr">
        <is>
          <t>IDGIBMZTENYZ6AT8U5RQT8U5RQPAD8</t>
        </is>
      </c>
      <c r="R10" s="2" t="inlineStr">
        <is>
          <t>a) 0-4</t>
        </is>
      </c>
      <c r="S10" s="2" t="inlineStr">
        <is>
          <t>-</t>
        </is>
      </c>
      <c r="T10" s="2" t="inlineStr">
        <is>
          <t>-</t>
        </is>
      </c>
    </row>
    <row r="11">
      <c r="A11" s="2" t="inlineStr">
        <is>
          <t>🟢</t>
        </is>
      </c>
      <c r="B11" s="3" t="str">
        <f>HYPERLINK("https://compensar-smartit.onbmc.com/smartit/app/#/incident/IDGEXM7CDZJ5AAT8U927T8U9272G14","INC000000154415")</f>
        <v>INC000000154415</v>
      </c>
      <c r="C11" s="2" t="inlineStr">
        <is>
          <t>No</t>
        </is>
      </c>
      <c r="D11" s="2" t="inlineStr">
        <is>
          <t>Lentitud en rendimiento y daño en equipo</t>
        </is>
      </c>
      <c r="E11" s="2" t="inlineStr">
        <is>
          <t>Pendiente</t>
        </is>
      </c>
      <c r="F11" s="2" t="inlineStr">
        <is>
          <t>Usuario        : Angela Morales
CC             : 52120549
Tel            : 3003531651
Informa        : La colaboradora reporta falla de rendimiento en el equipo. Adicionalmente, se valida que el equipo presenta una abolladura en la parte posterior; la colaboradora indica que el equipo se abrió de manera espontánea.
Ubicación      : Sede sitio Calle 68
Tiempo         : 1:45 p. m. 27/07/2026
Impacto        : 1
 Activo: P016940
Evidencias     :
                 1. Se realizan validaciones para rendimiento y conexion inet,usuario solicita verificacion ya que fallas se presentan con frecuencia.
                 2. Se adjunta imagen.</t>
        </is>
      </c>
      <c r="G11" s="2" t="inlineStr">
        <is>
          <t>SERVICIOS DE TECNOLOGIA-SOPORTE EQUIPOS DE COMPUTO-LENTITUD</t>
        </is>
      </c>
      <c r="H11" s="2" t="inlineStr">
        <is>
          <t>Telefono</t>
        </is>
      </c>
      <c r="I11" s="2" t="inlineStr">
        <is>
          <t>Baja</t>
        </is>
      </c>
      <c r="J11" s="4">
        <v>46230.57362268519</v>
      </c>
      <c r="K11" s="2" t="inlineStr">
        <is>
          <t>ANDERSON JULIAN RATIVA RAMIREZ</t>
        </is>
      </c>
      <c r="L11" s="2" t="inlineStr">
        <is>
          <t>ZONA CENTRO</t>
        </is>
      </c>
      <c r="M11" s="2" t="inlineStr">
        <is>
          <t>SERVICIOS DE TI</t>
        </is>
      </c>
      <c r="N11" s="2" t="inlineStr">
        <is>
          <t>P016940</t>
        </is>
      </c>
      <c r="O11" s="2" t="inlineStr">
        <is>
          <t>BIENESTAR Y DESARROLLO SOCIAL</t>
        </is>
      </c>
      <c r="P11" s="2"/>
      <c r="Q11" s="2" t="inlineStr">
        <is>
          <t>IDGEXM7CDZJ5AAT8U927T8U9272G14</t>
        </is>
      </c>
      <c r="R11" s="2" t="inlineStr">
        <is>
          <t>a) 0-4</t>
        </is>
      </c>
      <c r="S11" s="2" t="inlineStr">
        <is>
          <t>31/07/2026 18:00:00</t>
        </is>
      </c>
      <c r="T11" s="2" t="inlineStr">
        <is>
          <t>-</t>
        </is>
      </c>
    </row>
    <row r="12">
      <c r="A12" s="2" t="inlineStr">
        <is>
          <t>🔴</t>
        </is>
      </c>
      <c r="B12" s="3" t="str">
        <f>HYPERLINK("https://compensar-smartit.onbmc.com/smartit/app/#/incident/AGGEXM7CDZJ5AAT8UQPET8UQPEM4TW","INC000000154436")</f>
        <v>INC000000154436</v>
      </c>
      <c r="C12" s="2" t="inlineStr">
        <is>
          <t>Si</t>
        </is>
      </c>
      <c r="D12" s="2" t="inlineStr">
        <is>
          <t>Fallas de acceso a escritorio virtual</t>
        </is>
      </c>
      <c r="E12" s="2" t="inlineStr">
        <is>
          <t>En curso</t>
        </is>
      </c>
      <c r="F12" s="2" t="inlineStr">
        <is>
          <t>Ubicación para atención del Servicio: LOS COBOS MC
Número de contacto para la atención del servicio: 3165202720
Frente: SALUD
Aplicación Afectada: ESCRITORIO VIRTUAL
Numero de Usuarios Afectados: 1
Fecha y hora en que se presenta el incidente:: 2026-07-27T21:05:00.000Z
Proceso al que pertenece (Sigla – Nombre): pss 140
¿En qué sección de la aplicación ocurre el Error?: [MÓDULO]
¿Es Recurrente el Error?: SI
Recurrencia (en horas, días, meses): no permite el ingreso hace 2 dias
El error es: TODA LA APLICACIÓN
¿Bajo qué casos particulares se presenta el error?: cuando va acceder al escritorio remoto
Escriba detalladamente el error donde clarifique el flujo paso a paso de cómo se presentó: la doctora va a ingresar al equipo donde trabaja y le sale error escritorio remoto no encuentra el equipo
Adjunto: [AGGEXM7CDZJ5AAT8UQOPT8UQOPM414, AGGEXM7CDZJ5AAT8UQONT8UQONM4IZ, AGGEXM7CDZJ5AAT8UQONT8UQONM4JY]
</t>
        </is>
      </c>
      <c r="G12" s="2" t="inlineStr">
        <is>
          <t>SERVICIOS DE TECNOLOGIA-ESCRITORIOS VIRTUALES-CONEXION FALLIDA</t>
        </is>
      </c>
      <c r="H12" s="2" t="inlineStr">
        <is>
          <t>Portal - Web</t>
        </is>
      </c>
      <c r="I12" s="2" t="inlineStr">
        <is>
          <t>Baja</t>
        </is>
      </c>
      <c r="J12" s="4">
        <v>46230.67212962963</v>
      </c>
      <c r="K12" s="2" t="inlineStr">
        <is>
          <t>FABIAN JESSID PASTRANA AGUIRRE</t>
        </is>
      </c>
      <c r="L12" s="2" t="inlineStr">
        <is>
          <t>SPT ESCRITORIO VIRTUAL</t>
        </is>
      </c>
      <c r="M12" s="2" t="inlineStr">
        <is>
          <t>SERVICIOS DE TI</t>
        </is>
      </c>
      <c r="N12" s="2" t="inlineStr">
        <is>
          <t>ESCRITORIO VIRTUAL</t>
        </is>
      </c>
      <c r="O12" s="2" t="inlineStr">
        <is>
          <t>SALUD</t>
        </is>
      </c>
      <c r="P12" s="2"/>
      <c r="Q12" s="2" t="inlineStr">
        <is>
          <t>AGGEXM7CDZJ5AAT8UQPET8UQPEM4TW</t>
        </is>
      </c>
      <c r="R12" s="2" t="inlineStr">
        <is>
          <t>a) 0-4</t>
        </is>
      </c>
      <c r="S12" s="2" t="inlineStr">
        <is>
          <t>-</t>
        </is>
      </c>
      <c r="T12" s="2" t="inlineStr">
        <is>
          <t>-</t>
        </is>
      </c>
    </row>
    <row r="13">
      <c r="A13" s="2" t="inlineStr">
        <is>
          <t>🟢</t>
        </is>
      </c>
      <c r="B13" s="3" t="str">
        <f>HYPERLINK("https://compensar-smartit.onbmc.com/smartit/app/#/incident/AGGEXM7CDZJ5AAT8VY1ET8VY1EDF7V","INC000000154470")</f>
        <v>INC000000154470</v>
      </c>
      <c r="C13" s="2" t="inlineStr">
        <is>
          <t>No</t>
        </is>
      </c>
      <c r="D13" s="2" t="inlineStr">
        <is>
          <t>Falla en Equipo</t>
        </is>
      </c>
      <c r="E13" s="2" t="inlineStr">
        <is>
          <t>Pendiente</t>
        </is>
      </c>
      <c r="F13" s="2" t="inlineStr">
        <is>
          <t>Ubicación para atención del Servicio: BLOQUE F TORRE F PISO 3 CONVENIOS COMEDORES ESCOLARES
Número de contacto para la atención del servicio: 3184316004
Frente: BIENESTAR Y DESARROLLO SOCIAL
Falla: NO ENCIENDE/NO FUNCIONA
¿Cual es el dispositivo que presenta la falla?: [PORTATIL/PC]
Nombre de equipo (inventario o placa): 152800003557
Descripción del incidente o falla: BUEN DÍA, EL COMPUTADOR SE APAGA DE REPENTE Y NO ENCIENDE LA CPU, POR FAVOR COMUNICAR A PAOLA HERRERA, UBICAD@ EN LA DIRECCIÓN CALLE 9 C # 68 - 52, COLEGIO NACIONAL NICOLAS ESGUERRA (IED), AL NÚMERO CELULAR 3118744385, ACTIVO 152800003557 EN ELCASO DE REQUERIR CAMBIO DE LOS PERIFERICOS PARA LA ATENCION , POR FAVOR DEJAR IMPLEMENTO DE CONTINGENCIA PARA CONTINUIDAD DE LA OPERACION
</t>
        </is>
      </c>
      <c r="G13" s="2" t="inlineStr">
        <is>
          <t>SERVICIOS DE TECNOLOGIA-SOPORTE EQUIPOS DE COMPUTO-FALLA</t>
        </is>
      </c>
      <c r="H13" s="2" t="inlineStr">
        <is>
          <t>Portal - Web</t>
        </is>
      </c>
      <c r="I13" s="2" t="inlineStr">
        <is>
          <t>Baja</t>
        </is>
      </c>
      <c r="J13" s="4">
        <v>46231.3262962963</v>
      </c>
      <c r="K13" s="2" t="inlineStr">
        <is>
          <t>SANTIAGO PERDOMO ACERO</t>
        </is>
      </c>
      <c r="L13" s="2" t="inlineStr">
        <is>
          <t>ZONA CENTRO</t>
        </is>
      </c>
      <c r="M13" s="2" t="inlineStr">
        <is>
          <t>SERVICIOS DE TI</t>
        </is>
      </c>
      <c r="N13" s="2"/>
      <c r="O13" s="2" t="inlineStr">
        <is>
          <t>BIENESTAR Y DESARROLLO SOCIAL</t>
        </is>
      </c>
      <c r="P13" s="2"/>
      <c r="Q13" s="2" t="inlineStr">
        <is>
          <t>AGGEXM7CDZJ5AAT8VY1ET8VY1EDF7V</t>
        </is>
      </c>
      <c r="R13" s="2" t="inlineStr">
        <is>
          <t>a) 0-4</t>
        </is>
      </c>
      <c r="S13" s="2" t="inlineStr">
        <is>
          <t>30/07/2026 16:00:00</t>
        </is>
      </c>
      <c r="T13" s="2" t="inlineStr">
        <is>
          <t>-</t>
        </is>
      </c>
    </row>
    <row r="14">
      <c r="A14" s="2" t="inlineStr">
        <is>
          <t>🟢</t>
        </is>
      </c>
      <c r="B14" s="3" t="str">
        <f>HYPERLINK("https://compensar-smartit.onbmc.com/smartit/app/#/incident/AGGEXM7CDZJ5AAT8WC0UT8WC0UI5IW","INC000000154481")</f>
        <v>INC000000154481</v>
      </c>
      <c r="C14" s="2" t="inlineStr">
        <is>
          <t>No</t>
        </is>
      </c>
      <c r="D14" s="2" t="inlineStr">
        <is>
          <t>Falla en Equipo</t>
        </is>
      </c>
      <c r="E14" s="2" t="inlineStr">
        <is>
          <t>Pendiente</t>
        </is>
      </c>
      <c r="F14" s="2" t="inlineStr">
        <is>
          <t>Ubicación para atención del Servicio: CUR PISO 2 OFICINA DEPORTES RED
Número de contacto para la atención del servicio: 3105661636
Frente: BIENESTAR Y DESARROLLO SOCIAL
Falla: BLOQUEO
¿Cual es el dispositivo que presenta la falla?: [PORTATIL/PC]
Nombre de equipo (inventario o placa): 910500003710
Descripción del incidente o falla: Al abrir varias aplicaciones en el PC se congela la pantalla y no permite trabajar ninguna aplicación.
</t>
        </is>
      </c>
      <c r="G14" s="2" t="inlineStr">
        <is>
          <t>SERVICIOS DE TECNOLOGIA-SOPORTE EQUIPOS DE COMPUTO-FALLA</t>
        </is>
      </c>
      <c r="H14" s="2" t="inlineStr">
        <is>
          <t>Portal - Web</t>
        </is>
      </c>
      <c r="I14" s="2" t="inlineStr">
        <is>
          <t>Baja</t>
        </is>
      </c>
      <c r="J14" s="4">
        <v>46231.38618055556</v>
      </c>
      <c r="K14" s="2" t="inlineStr">
        <is>
          <t>ANDERSON JULIAN RATIVA RAMIREZ</t>
        </is>
      </c>
      <c r="L14" s="2" t="inlineStr">
        <is>
          <t>ZONA CENTRO</t>
        </is>
      </c>
      <c r="M14" s="2" t="inlineStr">
        <is>
          <t>SERVICIOS DE TI</t>
        </is>
      </c>
      <c r="N14" s="2"/>
      <c r="O14" s="2" t="inlineStr">
        <is>
          <t>BIENESTAR Y DESARROLLO SOCIAL</t>
        </is>
      </c>
      <c r="P14" s="2"/>
      <c r="Q14" s="2" t="inlineStr">
        <is>
          <t>AGGEXM7CDZJ5AAT8WC0UT8WC0UI5IW</t>
        </is>
      </c>
      <c r="R14" s="2" t="inlineStr">
        <is>
          <t>a) 0-4</t>
        </is>
      </c>
      <c r="S14" s="2" t="inlineStr">
        <is>
          <t>30/07/2026 18:00:00</t>
        </is>
      </c>
      <c r="T14" s="2" t="inlineStr">
        <is>
          <t>-</t>
        </is>
      </c>
    </row>
    <row r="15">
      <c r="A15" s="2" t="inlineStr">
        <is>
          <t>🔴</t>
        </is>
      </c>
      <c r="B15" s="3" t="str">
        <f>HYPERLINK("https://compensar-smartit.onbmc.com/smartit/app/#/incident/AGGEXM7CDZJ5AAT8WCP8T8WCP8JCB7","INC000000154482")</f>
        <v>INC000000154482</v>
      </c>
      <c r="C15" s="2" t="inlineStr">
        <is>
          <t>Si</t>
        </is>
      </c>
      <c r="D15" s="2" t="inlineStr">
        <is>
          <t>CONEXION INESTABLE EN EL DIGITURNO</t>
        </is>
      </c>
      <c r="E15" s="2" t="inlineStr">
        <is>
          <t>En curso</t>
        </is>
      </c>
      <c r="F15" s="2" t="inlineStr">
        <is>
          <t>Ubicación para atención del Servicio: CHIA PISO 3 VACUNACION
Número de contacto para la atención del servicio: 3057065511
Frente: SALUD
Falla: NO ENCIENDE/NO FUNCIONA
¿Cual es el dispositivo que presenta la falla?: [OTRO]
Nombre de equipo (inventario o placa): C025409
Descripción del incidente o falla: EL EQUIPO NO PUEDE CONECTARSE A RED POR CABLE, SI NO POR WIFI PERO LA CONEXION ESINESTABLE EN EL DIGITURNO
</t>
        </is>
      </c>
      <c r="G15" s="2" t="inlineStr">
        <is>
          <t>SERVICIOS DE TECNOLOGIA-SOPORTE EQUIPOS DE COMPUTO-FALLA</t>
        </is>
      </c>
      <c r="H15" s="2" t="inlineStr">
        <is>
          <t>Portal - Web</t>
        </is>
      </c>
      <c r="I15" s="2" t="inlineStr">
        <is>
          <t>Baja</t>
        </is>
      </c>
      <c r="J15" s="4">
        <v>46231.39229166666</v>
      </c>
      <c r="K15" s="2" t="inlineStr">
        <is>
          <t>EDWIN ALEXIS PATIÑO TEJEDOR</t>
        </is>
      </c>
      <c r="L15" s="2" t="inlineStr">
        <is>
          <t>SPT ZONA NORTE</t>
        </is>
      </c>
      <c r="M15" s="2" t="inlineStr">
        <is>
          <t>SERVICIOS DE TI</t>
        </is>
      </c>
      <c r="N15" s="2" t="inlineStr">
        <is>
          <t>SWEX164 - DIGITURNO 5</t>
        </is>
      </c>
      <c r="O15" s="2" t="inlineStr">
        <is>
          <t>SALUD</t>
        </is>
      </c>
      <c r="P15" s="2"/>
      <c r="Q15" s="2" t="inlineStr">
        <is>
          <t>AGGEXM7CDZJ5AAT8WCP8T8WCP8JCB7</t>
        </is>
      </c>
      <c r="R15" s="2" t="inlineStr">
        <is>
          <t>a) 0-4</t>
        </is>
      </c>
      <c r="S15" s="2" t="inlineStr">
        <is>
          <t>-</t>
        </is>
      </c>
      <c r="T15" s="2" t="inlineStr">
        <is>
          <t>-</t>
        </is>
      </c>
    </row>
    <row r="16">
      <c r="A16" s="2" t="inlineStr">
        <is>
          <t>🟢</t>
        </is>
      </c>
      <c r="B16" s="3" t="str">
        <f>HYPERLINK("https://compensar-smartit.onbmc.com/smartit/app/#/incident/IDGEXM7CDZJ5AAT8WENZT8WENZ1SWJ","INC000000154486")</f>
        <v>INC000000154486</v>
      </c>
      <c r="C16" s="2" t="inlineStr">
        <is>
          <t>No</t>
        </is>
      </c>
      <c r="D16" s="2" t="inlineStr">
        <is>
          <t>No conecta global</t>
        </is>
      </c>
      <c r="E16" s="2" t="inlineStr">
        <is>
          <t>Pendiente</t>
        </is>
      </c>
      <c r="F16" s="2" t="inlineStr">
        <is>
          <t>Usuario: Juan David Gonzalez Soto 
CC: 1015995493
Tel: 3102783890
Informa: El colaborador reporta que no le perite hacer conexión a VPN GLOBAL 
Ubicación: Sede externa 
Tiempo: 10:05 a. m. 28/07/2026
Impacto:1
Evidencias: Se actualizan credenciales de red , se prueba nuevamente pero no conecta , se reinicia el equipo , usuario confirma conexión en otro equipo distinto con las nueva credenciales , Se escala para su gestión</t>
        </is>
      </c>
      <c r="G16" s="2" t="inlineStr">
        <is>
          <t>SERVICIOS DE TECNOLOGIA-APLICACIONES DE NEGOCIO-ACCESO DENEGADO</t>
        </is>
      </c>
      <c r="H16" s="2" t="inlineStr">
        <is>
          <t>Telefono</t>
        </is>
      </c>
      <c r="I16" s="2" t="inlineStr">
        <is>
          <t>Baja</t>
        </is>
      </c>
      <c r="J16" s="4">
        <v>46231.422488425924</v>
      </c>
      <c r="K16" s="2" t="inlineStr">
        <is>
          <t>DILAN SAMIR LOPEZ ARAUJO</t>
        </is>
      </c>
      <c r="L16" s="2" t="inlineStr">
        <is>
          <t>ZONA CENTRO</t>
        </is>
      </c>
      <c r="M16" s="2" t="inlineStr">
        <is>
          <t>SERVICIOS DE TI</t>
        </is>
      </c>
      <c r="N16" s="2" t="inlineStr">
        <is>
          <t>SWEX232-PRISMA ACCESS</t>
        </is>
      </c>
      <c r="O16" s="2" t="inlineStr">
        <is>
          <t>BIENESTAR Y DESARROLLO SOCIAL</t>
        </is>
      </c>
      <c r="P16" s="2"/>
      <c r="Q16" s="2" t="inlineStr">
        <is>
          <t>IDGEXM7CDZJ5AAT8WENZT8WENZ1SWJ</t>
        </is>
      </c>
      <c r="R16" s="2" t="inlineStr">
        <is>
          <t>a) 0-4</t>
        </is>
      </c>
      <c r="S16" s="2" t="inlineStr">
        <is>
          <t>30/07/2026 17:00:00</t>
        </is>
      </c>
      <c r="T16" s="2" t="inlineStr">
        <is>
          <t>-</t>
        </is>
      </c>
    </row>
    <row r="17">
      <c r="A17" s="2" t="inlineStr">
        <is>
          <t>🟢</t>
        </is>
      </c>
      <c r="B17" s="3" t="str">
        <f>HYPERLINK("https://compensar-smartit.onbmc.com/smartit/app/#/incident/IDGIBMZTENYZ6AT8VUTTT8VUTTKVHV","INC000000154510")</f>
        <v>INC000000154510</v>
      </c>
      <c r="C17" s="2" t="inlineStr">
        <is>
          <t>No</t>
        </is>
      </c>
      <c r="D17" s="2" t="inlineStr">
        <is>
          <t>Falla Equipo - Lentitud</t>
        </is>
      </c>
      <c r="E17" s="2" t="inlineStr">
        <is>
          <t>Pendiente</t>
        </is>
      </c>
      <c r="F17" s="2" t="inlineStr">
        <is>
          <t>Usuario: Alexandra Calderon 
Informa: El equipo no permite descargar archivos por que tiene memoria llena, se cierran todas pantallas y el fondo queda negro, esta presentando lentitud. Se intenta tomar el equipo remoto pero se corta la asistencia rápida y el usuario esta tomando asistencia y no es posible seguir con el soporte prefiere que alguien se acerque a validar el equipo
📍 Ubicación: CUR OLIMPICA 2 
Tiempo: 6:32
Impacto: 1</t>
        </is>
      </c>
      <c r="G17" s="2" t="inlineStr">
        <is>
          <t>SERVICIOS DE TECNOLOGIA-SOPORTE EQUIPOS DE COMPUTO-LENTITUD</t>
        </is>
      </c>
      <c r="H17" s="2" t="inlineStr">
        <is>
          <t>Telefono</t>
        </is>
      </c>
      <c r="I17" s="2" t="inlineStr">
        <is>
          <t>Baja</t>
        </is>
      </c>
      <c r="J17" s="4">
        <v>46231.276192129626</v>
      </c>
      <c r="K17" s="2" t="inlineStr">
        <is>
          <t>DILAN SAMIR LOPEZ ARAUJO</t>
        </is>
      </c>
      <c r="L17" s="2" t="inlineStr">
        <is>
          <t>ZONA CENTRO</t>
        </is>
      </c>
      <c r="M17" s="2" t="inlineStr">
        <is>
          <t>SERVICIOS DE TI</t>
        </is>
      </c>
      <c r="N17" s="2"/>
      <c r="O17" s="2" t="inlineStr">
        <is>
          <t>CLIENTES</t>
        </is>
      </c>
      <c r="P17" s="2"/>
      <c r="Q17" s="2" t="inlineStr">
        <is>
          <t>IDGIBMZTENYZ6AT8VUTTT8VUTTKVHV</t>
        </is>
      </c>
      <c r="R17" s="2" t="inlineStr">
        <is>
          <t>a) 0-4</t>
        </is>
      </c>
      <c r="S17" s="2" t="inlineStr">
        <is>
          <t>30/07/2026 17:00:00</t>
        </is>
      </c>
      <c r="T17" s="2" t="inlineStr">
        <is>
          <t>-</t>
        </is>
      </c>
    </row>
    <row r="18">
      <c r="A18" s="2" t="inlineStr">
        <is>
          <t>🟢</t>
        </is>
      </c>
      <c r="B18" s="3" t="str">
        <f>HYPERLINK("https://compensar-smartit.onbmc.com/smartit/app/#/incident/IDGEXM7CDZJ5AAT8W3JTT8W3JTOE5P","INC000000154610")</f>
        <v>INC000000154610</v>
      </c>
      <c r="C18" s="2" t="inlineStr">
        <is>
          <t>No</t>
        </is>
      </c>
      <c r="D18" s="2" t="inlineStr">
        <is>
          <t>Lentitud en aplicativos por posible lentitud de red</t>
        </is>
      </c>
      <c r="E18" s="2" t="inlineStr">
        <is>
          <t>Pendiente</t>
        </is>
      </c>
      <c r="F18" s="2" t="inlineStr">
        <is>
          <t>Usuario: ELIZABETH SEGURA RINCON
Informa: La usuaria se comunica con la Mesa de Servicio indicando lentitud en SAP y Cherwell utilizados desde el escritorio virtual. Informa que los usuarios se encuentran conectados físicamente desde la sede. Se realizan pruebas de conectividad mediante trazas hacia Google tanto desde el escritorio virtual como desde el equipo físico. Se requiere validar la dirección MAC del equipo o de los equipos afectados para descartar una posible afectación a nivel de red.
Ubicación: Cra. 69 Piso 3 - Puesto 198
Tiempo: 13:03 28/07/2026
Impacto: Usuarios afectados 8
Placa de equipo: No especificada
Evidencias:
1. Se recibió el reporte relacionado con lentitud en SAP durante la consulta de historias clínicas.
2. Se validó que el aplicativo presenta tiempos prolongados de carga.
3. Se evidenció que en algunos intentos la sesión se cierra durante la consulta.
4. Se confirmó que los usuarios afectados trabajan desde escritorio virtual.
5. Se registró la cédula de la usuaria: 52790190.
6. Se registró el teléfono de contacto: 3142363228.</t>
        </is>
      </c>
      <c r="G18" s="2" t="inlineStr">
        <is>
          <t>SERVICIOS DE TECNOLOGIA-SOPORTE EQUIPOS DE COMPUTO-LENTITUD</t>
        </is>
      </c>
      <c r="H18" s="2" t="inlineStr">
        <is>
          <t>Telefono</t>
        </is>
      </c>
      <c r="I18" s="2" t="inlineStr">
        <is>
          <t>Baja</t>
        </is>
      </c>
      <c r="J18" s="4">
        <v>46231.551932870374</v>
      </c>
      <c r="K18" s="2" t="inlineStr">
        <is>
          <t>FABIAN JESSID PASTRANA AGUIRRE</t>
        </is>
      </c>
      <c r="L18" s="2" t="inlineStr">
        <is>
          <t>SPT ESCRITORIO VIRTUAL</t>
        </is>
      </c>
      <c r="M18" s="2" t="inlineStr">
        <is>
          <t>SERVICIOS DE TI</t>
        </is>
      </c>
      <c r="N18" s="2" t="inlineStr">
        <is>
          <t>SISTEMA OPERATIVO WINDOWS</t>
        </is>
      </c>
      <c r="O18" s="2" t="inlineStr">
        <is>
          <t>SALUD</t>
        </is>
      </c>
      <c r="P18" s="2"/>
      <c r="Q18" s="2" t="inlineStr">
        <is>
          <t>IDGEXM7CDZJ5AAT8W3JTT8W3JTOE5P</t>
        </is>
      </c>
      <c r="R18" s="2" t="inlineStr">
        <is>
          <t>a) 0-4</t>
        </is>
      </c>
      <c r="S18" s="2" t="inlineStr">
        <is>
          <t>30/07/2026 19:00:00</t>
        </is>
      </c>
      <c r="T18" s="2" t="inlineStr">
        <is>
          <t>-</t>
        </is>
      </c>
    </row>
    <row r="19">
      <c r="A19" s="2" t="inlineStr">
        <is>
          <t>🟢</t>
        </is>
      </c>
      <c r="B19" s="3" t="str">
        <f>HYPERLINK("https://compensar-smartit.onbmc.com/smartit/app/#/incident/AGGEXM7CDZJ5AAT8W62ET8W62EQO7Z","INC000000154622")</f>
        <v>INC000000154622</v>
      </c>
      <c r="C19" s="2" t="inlineStr">
        <is>
          <t>No</t>
        </is>
      </c>
      <c r="D19" s="2" t="inlineStr">
        <is>
          <t>Falla en Equipo</t>
        </is>
      </c>
      <c r="E19" s="2" t="inlineStr">
        <is>
          <t>Pendiente</t>
        </is>
      </c>
      <c r="F19" s="2" t="inlineStr">
        <is>
          <t>Ubicación para atención del Servicio: CUR PISO 2 COORDINACION DE NATACION
Número de contacto para la atención del servicio: 3053072387
Frente: BIENESTAR Y DESARROLLO SOCIAL
Falla: BLOQUEO
¿Cual es el dispositivo que presenta la falla?: [PORTATIL/PC]
Nombre de equipo (inventario o placa): 152800005024
Descripción del incidente o falla: Es una tablet y no ingresa a control docente en el aplicativo hercules
Adjunto: [AGGEXM7CDZJ5AAT8W61JT8W61JQND0]
</t>
        </is>
      </c>
      <c r="G19" s="2" t="inlineStr">
        <is>
          <t>SERVICIOS DE TECNOLOGIA-SOPORTE EQUIPOS DE COMPUTO-FALLA</t>
        </is>
      </c>
      <c r="H19" s="2" t="inlineStr">
        <is>
          <t>Portal - Web</t>
        </is>
      </c>
      <c r="I19" s="2" t="inlineStr">
        <is>
          <t>Baja</t>
        </is>
      </c>
      <c r="J19" s="4">
        <v>46231.596712962964</v>
      </c>
      <c r="K19" s="2" t="inlineStr">
        <is>
          <t>DANIEL ALEJANDRO BORDA MESTIZO</t>
        </is>
      </c>
      <c r="L19" s="2" t="inlineStr">
        <is>
          <t>ZONA CENTRO</t>
        </is>
      </c>
      <c r="M19" s="2" t="inlineStr">
        <is>
          <t>SERVICIOS DE TI</t>
        </is>
      </c>
      <c r="N19" s="2"/>
      <c r="O19" s="2" t="inlineStr">
        <is>
          <t>BIENESTAR Y DESARROLLO SOCIAL</t>
        </is>
      </c>
      <c r="P19" s="2"/>
      <c r="Q19" s="2" t="inlineStr">
        <is>
          <t>AGGEXM7CDZJ5AAT8W62ET8W62EQO7Z</t>
        </is>
      </c>
      <c r="R19" s="2" t="inlineStr">
        <is>
          <t>a) 0-4</t>
        </is>
      </c>
      <c r="S19" s="2" t="inlineStr">
        <is>
          <t>30/07/2026 21:00:00</t>
        </is>
      </c>
      <c r="T19" s="2" t="inlineStr">
        <is>
          <t>-</t>
        </is>
      </c>
    </row>
    <row r="20">
      <c r="A20" s="2" t="inlineStr">
        <is>
          <t>🟠</t>
        </is>
      </c>
      <c r="B20" s="3" t="str">
        <f>HYPERLINK("https://compensar-smartit.onbmc.com/smartit/app/#/incident/IDGEXM7CDZJ5AAT8XS54T8XS543P0D","INC000000154675")</f>
        <v>INC000000154675</v>
      </c>
      <c r="C20" s="2" t="inlineStr">
        <is>
          <t>No</t>
        </is>
      </c>
      <c r="D20" s="2" t="inlineStr">
        <is>
          <t>Red – validación de red y escalamiento de caso</t>
        </is>
      </c>
      <c r="E20" s="2" t="inlineStr">
        <is>
          <t>En curso</t>
        </is>
      </c>
      <c r="F20" s="2" t="inlineStr">
        <is>
          <t>Usuario: Anthony Andrés Castelblanco Benavides
Descripción: El usuario reporta que tras realizar cambio de equipos en la oficina, estos no logran conectarse a la red.
Ubicación: Bloque H CUR
Fecha y hora: 29/07/2026 – 07:37 a. m.
Impacto: Usuario afectado: 1
Placa del equipo: P176497
Evidencias/Procedimiento realizado:  
1.Se realizan validaciones iniciales y se dejan registradas evidencias del caso para el área encargada.
2.Se escala el caso al área correspondiente para su respectiva gestión.</t>
        </is>
      </c>
      <c r="G20" s="2" t="inlineStr">
        <is>
          <t>SERVICIOS DE TECNOLOGIA-GESTION DE APLICACIONES-OTRAS FALLAS</t>
        </is>
      </c>
      <c r="H20" s="2" t="inlineStr">
        <is>
          <t>Telefono</t>
        </is>
      </c>
      <c r="I20" s="2" t="inlineStr">
        <is>
          <t>Baja</t>
        </is>
      </c>
      <c r="J20" s="4">
        <v>46232.321875</v>
      </c>
      <c r="K20" s="2" t="inlineStr">
        <is>
          <t>DILAN SAMIR LOPEZ ARAUJO</t>
        </is>
      </c>
      <c r="L20" s="2" t="inlineStr">
        <is>
          <t>ZONA CENTRO</t>
        </is>
      </c>
      <c r="M20" s="2" t="inlineStr">
        <is>
          <t>SERVICIOS DE TI</t>
        </is>
      </c>
      <c r="N20" s="2" t="inlineStr">
        <is>
          <t>SISTEMA OPERATIVO WINDOWS</t>
        </is>
      </c>
      <c r="O20" s="2" t="inlineStr">
        <is>
          <t>BIENESTAR Y DESARROLLO SOCIAL</t>
        </is>
      </c>
      <c r="P20" s="2"/>
      <c r="Q20" s="2" t="inlineStr">
        <is>
          <t>IDGEXM7CDZJ5AAT8XS54T8XS543P0D</t>
        </is>
      </c>
      <c r="R20" s="2" t="inlineStr">
        <is>
          <t>a) 0-4</t>
        </is>
      </c>
      <c r="S20" s="2" t="inlineStr">
        <is>
          <t>-</t>
        </is>
      </c>
      <c r="T20" s="2" t="inlineStr">
        <is>
          <t>30/07/2026 13:43:30</t>
        </is>
      </c>
    </row>
    <row r="21">
      <c r="A21" s="2" t="inlineStr">
        <is>
          <t>🟠</t>
        </is>
      </c>
      <c r="B21" s="3" t="str">
        <f>HYPERLINK("https://compensar-smartit.onbmc.com/smartit/app/#/incident/AGGEXM7CDZJ5AAT8XTR5T8XTR54QUY","INC000000154679")</f>
        <v>INC000000154679</v>
      </c>
      <c r="C21" s="2" t="inlineStr">
        <is>
          <t>No</t>
        </is>
      </c>
      <c r="D21" s="2" t="inlineStr">
        <is>
          <t>Falla en Equipo</t>
        </is>
      </c>
      <c r="E21" s="2" t="inlineStr">
        <is>
          <t>Asignado</t>
        </is>
      </c>
      <c r="F21" s="2" t="inlineStr">
        <is>
          <t>Ubicación para atención del Servicio: ACUEDUCTO PISO 1 ASIGNACION DE SERVICIOS
Número de contacto para la atención del servicio: 3138570670
Frente: SALUD
Falla: DAÑO FISICO
¿Cual es el dispositivo que presenta la falla?: [TECLADO]
Nombre de equipo (inventario o placa): C008420
Descripción del incidente o falla: Buenos días solicito cambio de teclado del equipo C008420, ubicado en el área de archivo ya que la techa intro se soltó del teclado. envió foto.
Adjunto: [AGGEXM7CDZJ5AAT8XTRHT8XTRH4QMP, AGGEXM7CDZJ5AAT8XTRHT8XTRH4QMX]
</t>
        </is>
      </c>
      <c r="G21" s="2" t="inlineStr">
        <is>
          <t>SERVICIOS DE TECNOLOGIA-SOPORTE EQUIPOS DE COMPUTO-FALLA</t>
        </is>
      </c>
      <c r="H21" s="2" t="inlineStr">
        <is>
          <t>Portal - Web</t>
        </is>
      </c>
      <c r="I21" s="2" t="inlineStr">
        <is>
          <t>Baja</t>
        </is>
      </c>
      <c r="J21" s="4">
        <v>46232.33809027778</v>
      </c>
      <c r="K21" s="2" t="inlineStr">
        <is>
          <t>SANTIAGO PERDOMO ACERO</t>
        </is>
      </c>
      <c r="L21" s="2" t="inlineStr">
        <is>
          <t>ZONA CENTRO</t>
        </is>
      </c>
      <c r="M21" s="2" t="inlineStr">
        <is>
          <t>SERVICIOS DE TI</t>
        </is>
      </c>
      <c r="N21" s="2"/>
      <c r="O21" s="2" t="inlineStr">
        <is>
          <t>SALUD</t>
        </is>
      </c>
      <c r="P21" s="2"/>
      <c r="Q21" s="2" t="inlineStr">
        <is>
          <t>AGGEXM7CDZJ5AAT8XTR5T8XTR54QUY</t>
        </is>
      </c>
      <c r="R21" s="2" t="inlineStr">
        <is>
          <t>a) 0-4</t>
        </is>
      </c>
      <c r="S21" s="2" t="inlineStr">
        <is>
          <t>-</t>
        </is>
      </c>
      <c r="T21" s="2" t="inlineStr">
        <is>
          <t>30/07/2026 14:06:51</t>
        </is>
      </c>
    </row>
    <row r="22">
      <c r="A22" s="2" t="inlineStr">
        <is>
          <t>🟠</t>
        </is>
      </c>
      <c r="B22" s="3" t="str">
        <f>HYPERLINK("https://compensar-smartit.onbmc.com/smartit/app/#/incident/AGGEXM7CDZJ5AAT8XU03T8XU03548W","INC000000154683")</f>
        <v>INC000000154683</v>
      </c>
      <c r="C22" s="2" t="inlineStr">
        <is>
          <t>No</t>
        </is>
      </c>
      <c r="D22" s="2" t="inlineStr">
        <is>
          <t>Falla en Equipo</t>
        </is>
      </c>
      <c r="E22" s="2" t="inlineStr">
        <is>
          <t>Asignado</t>
        </is>
      </c>
      <c r="F22" s="2" t="inlineStr">
        <is>
          <t>Ubicación para atención del Servicio: ACUEDUCTO PISO 1 ASIGNACION DE SERVICIOS
Número de contacto para la atención del servicio: 3138570670
Frente: SALUD
Falla: NO ENCIENDE/NO FUNCIONA
¿Cual es el dispositivo que presenta la falla?: [OTRO]
Nombre de equipo (inventario o placa): C008441
Descripción del incidente o falla: Buen día solicito revisión del equipo C008441 ubicado en la ventanilla 9 ya que esta lento.
</t>
        </is>
      </c>
      <c r="G22" s="2" t="inlineStr">
        <is>
          <t>SERVICIOS DE TECNOLOGIA-SOPORTE EQUIPOS DE COMPUTO-FALLA</t>
        </is>
      </c>
      <c r="H22" s="2" t="inlineStr">
        <is>
          <t>Portal - Web</t>
        </is>
      </c>
      <c r="I22" s="2" t="inlineStr">
        <is>
          <t>Baja</t>
        </is>
      </c>
      <c r="J22" s="4">
        <v>46232.345983796295</v>
      </c>
      <c r="K22" s="2" t="inlineStr">
        <is>
          <t>SANTIAGO PERDOMO ACERO</t>
        </is>
      </c>
      <c r="L22" s="2" t="inlineStr">
        <is>
          <t>ZONA CENTRO</t>
        </is>
      </c>
      <c r="M22" s="2" t="inlineStr">
        <is>
          <t>SERVICIOS DE TI</t>
        </is>
      </c>
      <c r="N22" s="2" t="inlineStr">
        <is>
          <t>C008441</t>
        </is>
      </c>
      <c r="O22" s="2" t="inlineStr">
        <is>
          <t>SALUD</t>
        </is>
      </c>
      <c r="P22" s="2"/>
      <c r="Q22" s="2" t="inlineStr">
        <is>
          <t>AGGEXM7CDZJ5AAT8XU03T8XU03548W</t>
        </is>
      </c>
      <c r="R22" s="2" t="inlineStr">
        <is>
          <t>a) 0-4</t>
        </is>
      </c>
      <c r="S22" s="2" t="inlineStr">
        <is>
          <t>-</t>
        </is>
      </c>
      <c r="T22" s="2" t="inlineStr">
        <is>
          <t>30/07/2026 14:18:13</t>
        </is>
      </c>
    </row>
    <row r="23">
      <c r="A23" s="2" t="inlineStr">
        <is>
          <t>🟠</t>
        </is>
      </c>
      <c r="B23" s="3" t="str">
        <f>HYPERLINK("https://compensar-smartit.onbmc.com/smartit/app/#/incident/IDGEXM7CDZJ5AAT8XXSFT8XXSF9OO1","INC000000154696")</f>
        <v>INC000000154696</v>
      </c>
      <c r="C23" s="2" t="inlineStr">
        <is>
          <t>No</t>
        </is>
      </c>
      <c r="D23" s="2" t="inlineStr">
        <is>
          <t>Falla no permite inciar sesion con usuario de windows.</t>
        </is>
      </c>
      <c r="E23" s="2" t="inlineStr">
        <is>
          <t>Asignado</t>
        </is>
      </c>
      <c r="F23" s="2" t="inlineStr">
        <is>
          <t>Usuario: Lady Johana Vanegas Sanchez
Teléfono: 3202193606
CC: 1022928745
Informa: La usuaria se comunica con la Mesa de Servicio indicando que requiere un cambio de punto, ya que no le permite iniciar sesión con su usuario en el equipo asignado.
Ubicación: Andar Calle 80
Tiempo: 6:25 a. m. 29/07/2026
Impacto: No especificado
Placa de equipo: No especificada
Evidencias:
1. Se validó la información reportada por la usuaria.
2. La usuaria informó el número de incidente INC000000152141.
3. Se evidenció que la validación en sitio no fue realizada en el caso anterior.
4. Se creó un nuevo caso para efectuar la respectiva validación.</t>
        </is>
      </c>
      <c r="G23" s="2" t="inlineStr">
        <is>
          <t>SERVICIOS DE TECNOLOGIA-SOPORTE EQUIPOS DE COMPUTO-FALLA</t>
        </is>
      </c>
      <c r="H23" s="2" t="inlineStr">
        <is>
          <t>Telefono</t>
        </is>
      </c>
      <c r="I23" s="2" t="inlineStr">
        <is>
          <t>Baja</t>
        </is>
      </c>
      <c r="J23" s="4">
        <v>46232.39975694445</v>
      </c>
      <c r="K23" s="2" t="inlineStr">
        <is>
          <t>SANTIAGO PERDOMO ACERO</t>
        </is>
      </c>
      <c r="L23" s="2" t="inlineStr">
        <is>
          <t>ZONA CENTRO</t>
        </is>
      </c>
      <c r="M23" s="2" t="inlineStr">
        <is>
          <t>SERVICIOS DE TI</t>
        </is>
      </c>
      <c r="N23" s="2"/>
      <c r="O23" s="2" t="inlineStr">
        <is>
          <t>BIENESTAR Y DESARROLLO SOCIAL</t>
        </is>
      </c>
      <c r="P23" s="2"/>
      <c r="Q23" s="2" t="inlineStr">
        <is>
          <t>IDGEXM7CDZJ5AAT8XXSFT8XXSF9OO1</t>
        </is>
      </c>
      <c r="R23" s="2" t="inlineStr">
        <is>
          <t>a) 0-4</t>
        </is>
      </c>
      <c r="S23" s="2" t="inlineStr">
        <is>
          <t>-</t>
        </is>
      </c>
      <c r="T23" s="2" t="inlineStr">
        <is>
          <t>30/07/2026 15:35:39</t>
        </is>
      </c>
    </row>
    <row r="24">
      <c r="A24" s="2" t="inlineStr">
        <is>
          <t>🟢</t>
        </is>
      </c>
      <c r="B24" s="3" t="str">
        <f>HYPERLINK("https://compensar-smartit.onbmc.com/smartit/app/#/incident/AGGEXM7CDZJ5AAT8XYGFT8XYGFKEO2","INC000000154700")</f>
        <v>INC000000154700</v>
      </c>
      <c r="C24" s="2" t="inlineStr">
        <is>
          <t>No</t>
        </is>
      </c>
      <c r="D24" s="2" t="inlineStr">
        <is>
          <t>Otras Fallas</t>
        </is>
      </c>
      <c r="E24" s="2" t="inlineStr">
        <is>
          <t>Pendiente</t>
        </is>
      </c>
      <c r="F24" s="2" t="inlineStr">
        <is>
          <t>Ubicación para atención del Servicio: CSDE PISO 1 EDIFICIO CORRESPONDENCIA - PUESTO PGIE (1)
Número de contacto para la atención del servicio: 3114893865
Frente: CENTRO DE SERVICIOS COMPARTIDOS
Afectación: OTRAS FALLAS
Nombre de equipo (inventario o placa): p016816
Descripción del incidente o falla: requiero la acutalización de Windows 11 dada la lentitud del equipo y el soporte recibido, para ello me cuentro en la sede empresarial y entregar el equipo
</t>
        </is>
      </c>
      <c r="G24" s="2" t="inlineStr">
        <is>
          <t>SERVICIOS DE TECNOLOGIA-GESTION DE APLICACIONES-FALLA</t>
        </is>
      </c>
      <c r="H24" s="2" t="inlineStr">
        <is>
          <t>Portal - Web</t>
        </is>
      </c>
      <c r="I24" s="2" t="inlineStr">
        <is>
          <t>Baja</t>
        </is>
      </c>
      <c r="J24" s="4">
        <v>46232.40422453704</v>
      </c>
      <c r="K24" s="2" t="inlineStr">
        <is>
          <t>JUAN CAMILO RINCON BLANCO</t>
        </is>
      </c>
      <c r="L24" s="2" t="inlineStr">
        <is>
          <t>ZONA CENTRO</t>
        </is>
      </c>
      <c r="M24" s="2" t="inlineStr">
        <is>
          <t>SERVICIOS DE TI</t>
        </is>
      </c>
      <c r="N24" s="2" t="inlineStr">
        <is>
          <t>P016816</t>
        </is>
      </c>
      <c r="O24" s="2" t="inlineStr">
        <is>
          <t>CENTRO DE SERVICIOS COMPARTIDOS</t>
        </is>
      </c>
      <c r="P24" s="2"/>
      <c r="Q24" s="2" t="inlineStr">
        <is>
          <t>AGGEXM7CDZJ5AAT8XYGFT8XYGFKEO2</t>
        </is>
      </c>
      <c r="R24" s="2" t="inlineStr">
        <is>
          <t>a) 0-4</t>
        </is>
      </c>
      <c r="S24" s="2" t="inlineStr">
        <is>
          <t>30/07/2026 18:00:00</t>
        </is>
      </c>
      <c r="T24" s="2" t="inlineStr">
        <is>
          <t>-</t>
        </is>
      </c>
    </row>
    <row r="25">
      <c r="A25" s="2" t="inlineStr">
        <is>
          <t>🟠</t>
        </is>
      </c>
      <c r="B25" s="3" t="str">
        <f>HYPERLINK("https://compensar-smartit.onbmc.com/smartit/app/#/incident/IDGIBMZTENYZ6AT8XV57T8XV57G6M7","INC000000154750")</f>
        <v>INC000000154750</v>
      </c>
      <c r="C25" s="2" t="inlineStr">
        <is>
          <t>No</t>
        </is>
      </c>
      <c r="D25" s="2" t="inlineStr">
        <is>
          <t>Falla de teclas en kit inalámbrico</t>
        </is>
      </c>
      <c r="E25" s="2" t="inlineStr">
        <is>
          <t>En curso</t>
        </is>
      </c>
      <c r="F25" s="2" t="inlineStr">
        <is>
          <t>Usuario: Yully Tatiana Sarmiento Gonzalez
Teléfono: 3143081744
CC: 1033722283
Informa: La usuaria se comunica con la Mesa de Servicio indicando que algunas teclas del teclado del kit inalámbrico no funcionan correctamente.
Ubicación: Movilidad
Tiempo: 6:25 a. m. 29/07/2026
Impacto: No especificado
Placa de equipo: No especificada
Evidencias:
1. Se validó el inconveniente reportado por la usuaria.
2. La usuaria indicó que realizó pruebas del kit inalámbrico en otro equipo.
3. Se confirmó que la falla persiste en el teclado.
4. Se escaló el caso para la respectiva validación.</t>
        </is>
      </c>
      <c r="G25" s="2" t="inlineStr">
        <is>
          <t>SERVICIOS DE TECNOLOGIA-SOPORTE EQUIPOS DE COMPUTO-FALLA</t>
        </is>
      </c>
      <c r="H25" s="2" t="inlineStr">
        <is>
          <t>Telefono</t>
        </is>
      </c>
      <c r="I25" s="2" t="inlineStr">
        <is>
          <t>Baja</t>
        </is>
      </c>
      <c r="J25" s="4">
        <v>46232.36670138889</v>
      </c>
      <c r="K25" s="2" t="inlineStr">
        <is>
          <t>JUAN CAMILO RINCON BLANCO</t>
        </is>
      </c>
      <c r="L25" s="2" t="inlineStr">
        <is>
          <t>ZONA CENTRO</t>
        </is>
      </c>
      <c r="M25" s="2" t="inlineStr">
        <is>
          <t>SERVICIOS DE TI</t>
        </is>
      </c>
      <c r="N25" s="2"/>
      <c r="O25" s="2" t="inlineStr">
        <is>
          <t>BIENESTAR Y DESARROLLO SOCIAL</t>
        </is>
      </c>
      <c r="P25" s="2"/>
      <c r="Q25" s="2" t="inlineStr">
        <is>
          <t>IDGIBMZTENYZ6AT8XV57T8XV57G6M7</t>
        </is>
      </c>
      <c r="R25" s="2" t="inlineStr">
        <is>
          <t>a) 0-4</t>
        </is>
      </c>
      <c r="S25" s="2" t="inlineStr">
        <is>
          <t>-</t>
        </is>
      </c>
      <c r="T25" s="2" t="inlineStr">
        <is>
          <t>30/07/2026 14:48:03</t>
        </is>
      </c>
    </row>
    <row r="26">
      <c r="A26" s="2" t="inlineStr">
        <is>
          <t>🟠</t>
        </is>
      </c>
      <c r="B26" s="3" t="str">
        <f>HYPERLINK("https://compensar-smartit.onbmc.com/smartit/app/#/incident/AGGIBMZTENYZ6AT8XWEGT8XWEGH20V","INC000000154751")</f>
        <v>INC000000154751</v>
      </c>
      <c r="C26" s="2" t="inlineStr">
        <is>
          <t>No</t>
        </is>
      </c>
      <c r="D26" s="2" t="inlineStr">
        <is>
          <t>Falla en Equipo - Kit Mouse y teclado</t>
        </is>
      </c>
      <c r="E26" s="2" t="inlineStr">
        <is>
          <t>En curso</t>
        </is>
      </c>
      <c r="F26" s="2" t="inlineStr">
        <is>
          <t>Ubicación para atención del Servicio: CLINICA PALERMO
Número de contacto para la atención del servicio: 3114592308
Frente: SALUD
Falla: NO ENCIENDE/NO FUNCIONA
¿Cual es el dispositivo que presenta la falla?: [TECLADO, MOUSE]
Nombre de equipo (inventario o placa): C006514
Descripción del incidente o falla: Buenos dias solicito su amable colaboracion revisando el equipo ubicado en patologia de clinica palermo 1 piso, reportan de la sede que no funciona el mouse ni el teclado
Adjunto: [AGGIBMZTENYZ6AT8XWDYT8XWDYH1XD]
</t>
        </is>
      </c>
      <c r="G26" s="2" t="inlineStr">
        <is>
          <t>SERVICIOS DE TECNOLOGIA-SOPORTE EQUIPOS DE COMPUTO-FALLA</t>
        </is>
      </c>
      <c r="H26" s="2" t="inlineStr">
        <is>
          <t>Portal - Web</t>
        </is>
      </c>
      <c r="I26" s="2" t="inlineStr">
        <is>
          <t>Baja</t>
        </is>
      </c>
      <c r="J26" s="4">
        <v>46232.373402777775</v>
      </c>
      <c r="K26" s="2" t="inlineStr">
        <is>
          <t>JEISON ANDRES REYES ROMERO</t>
        </is>
      </c>
      <c r="L26" s="2" t="inlineStr">
        <is>
          <t>ZONA ORIENTE</t>
        </is>
      </c>
      <c r="M26" s="2" t="inlineStr">
        <is>
          <t>SERVICIOS DE TI</t>
        </is>
      </c>
      <c r="N26" s="2"/>
      <c r="O26" s="2" t="inlineStr">
        <is>
          <t>SALUD</t>
        </is>
      </c>
      <c r="P26" s="2"/>
      <c r="Q26" s="2" t="inlineStr">
        <is>
          <t>AGGIBMZTENYZ6AT8XWEGT8XWEGH20V</t>
        </is>
      </c>
      <c r="R26" s="2" t="inlineStr">
        <is>
          <t>a) 0-4</t>
        </is>
      </c>
      <c r="S26" s="2" t="inlineStr">
        <is>
          <t>-</t>
        </is>
      </c>
      <c r="T26" s="2" t="inlineStr">
        <is>
          <t>30/07/2026 14:57:42</t>
        </is>
      </c>
    </row>
    <row r="27">
      <c r="A27" s="2" t="inlineStr">
        <is>
          <t>🟠</t>
        </is>
      </c>
      <c r="B27" s="3" t="str">
        <f>HYPERLINK("https://compensar-smartit.onbmc.com/smartit/app/#/incident/IDGIBMZTENYZ6AT8XX0GT8XX0GIZSK","INC000000154753")</f>
        <v>INC000000154753</v>
      </c>
      <c r="C27" s="2" t="inlineStr">
        <is>
          <t>No</t>
        </is>
      </c>
      <c r="D27" s="2" t="inlineStr">
        <is>
          <t>Falla de conexión a red de dominio</t>
        </is>
      </c>
      <c r="E27" s="2" t="inlineStr">
        <is>
          <t>En curso</t>
        </is>
      </c>
      <c r="F27" s="2" t="inlineStr">
        <is>
          <t>Usuario        : Jenny Carolina Pacheco Vasquez
CC             : 52494703
Tel            : 3144404024
Informa        : La colaboradora reporta falla de conexión de red en el equipo de la sede. Indica que el equipo no tiene acceso a la red de dominio Compensar.
Ubicación      : Carrera 60 Piso 13  puesto 1308
Tiempo         : 9:20 a. m. 29/07/2026
Impacto        : 1
Placa de equipo: 15280001390
Evidencias     : No especificada</t>
        </is>
      </c>
      <c r="G27" s="2" t="inlineStr">
        <is>
          <t>SERVICIOS DE TECNOLOGIA-APLICACIONES DE NEGOCIO-ACCESO DENEGADO</t>
        </is>
      </c>
      <c r="H27" s="2" t="inlineStr">
        <is>
          <t>Telefono</t>
        </is>
      </c>
      <c r="I27" s="2" t="inlineStr">
        <is>
          <t>Baja</t>
        </is>
      </c>
      <c r="J27" s="4">
        <v>46232.392372685186</v>
      </c>
      <c r="K27" s="2" t="inlineStr">
        <is>
          <t>GERLYN RENTERIA OROZCO</t>
        </is>
      </c>
      <c r="L27" s="2" t="inlineStr">
        <is>
          <t>ZONA CENTRO</t>
        </is>
      </c>
      <c r="M27" s="2" t="inlineStr">
        <is>
          <t>SERVICIOS DE TI</t>
        </is>
      </c>
      <c r="N27" s="2" t="inlineStr">
        <is>
          <t>C001390</t>
        </is>
      </c>
      <c r="O27" s="2" t="inlineStr">
        <is>
          <t>SALUD</t>
        </is>
      </c>
      <c r="P27" s="2"/>
      <c r="Q27" s="2" t="inlineStr">
        <is>
          <t>IDGIBMZTENYZ6AT8XX0GT8XX0GIZSK</t>
        </is>
      </c>
      <c r="R27" s="2" t="inlineStr">
        <is>
          <t>a) 0-4</t>
        </is>
      </c>
      <c r="S27" s="2" t="inlineStr">
        <is>
          <t>-</t>
        </is>
      </c>
      <c r="T27" s="2" t="inlineStr">
        <is>
          <t>30/07/2026 15:25:01</t>
        </is>
      </c>
    </row>
    <row r="28">
      <c r="A28" s="2" t="inlineStr">
        <is>
          <t>🟠</t>
        </is>
      </c>
      <c r="B28" s="3" t="str">
        <f>HYPERLINK("https://compensar-smartit.onbmc.com/smartit/app/#/incident/IDGIBMZTENYZ6AT8XZTQT8XZTQ34NJ","INC000000154762")</f>
        <v>INC000000154762</v>
      </c>
      <c r="C28" s="2" t="inlineStr">
        <is>
          <t>No</t>
        </is>
      </c>
      <c r="D28" s="2" t="inlineStr">
        <is>
          <t>Inconveniente de sincronización de contraseña en Windows - Requiere bajar el servicio de pangps</t>
        </is>
      </c>
      <c r="E28" s="2" t="inlineStr">
        <is>
          <t>Asignado</t>
        </is>
      </c>
      <c r="F28" s="2" t="inlineStr">
        <is>
          <t>Usuario: JOHANA BUITRAGO DELGADO
Informa: La usuaria se comunica con la Mesa de Servicio indicando que, posterior al cambio de contraseña, el equipo no acepta las nuevas credenciales de acceso. Se intenta establecer conexión mediante VPN para sincronizar la contraseña con el dominio; sin embargo, no es posible debido a que el equipo tampoco acepta la contraseña de administrador local. Se determina que el equipo requiere revisión, ya que presenta una desincronización y no refleja los cambios de credenciales.
Ubicación: Movilidad
Tiempo: 10:40 29/07/2026
Impacto: Usuarios afectados 1
Placa de equipo: No especificada
Evidencias:
1. Se recibió el reporte relacionado con el acceso al equipo posterior al cambio de contraseña.
2. Se validó que el equipo no acepta las nuevas credenciales de la usuaria.
3. Se intentó establecer conexión mediante VPN para sincronizar la contraseña con el dominio.
4. Se evidenció que el equipo no acepta la contraseña del administrador local, impidiendo continuar con la validación.
5. Se determinó que el equipo presenta una desincronización de credenciales y requiere revisión.
6. Se registró la cédula de la usuaria: 52322733.
7. Se registró el teléfono de contacto: 3012407295.</t>
        </is>
      </c>
      <c r="G28" s="2" t="inlineStr">
        <is>
          <t>SERVICIOS DE TECNOLOGIA-APLICACIONES DE NEGOCIO-FALLA</t>
        </is>
      </c>
      <c r="H28" s="2" t="inlineStr">
        <is>
          <t>Telefono</t>
        </is>
      </c>
      <c r="I28" s="2" t="inlineStr">
        <is>
          <t>Baja</t>
        </is>
      </c>
      <c r="J28" s="4">
        <v>46232.43016203704</v>
      </c>
      <c r="K28" s="2" t="inlineStr">
        <is>
          <t>ANDERSON JULIAN RATIVA RAMIREZ</t>
        </is>
      </c>
      <c r="L28" s="2" t="inlineStr">
        <is>
          <t>ZONA CENTRO</t>
        </is>
      </c>
      <c r="M28" s="2" t="inlineStr">
        <is>
          <t>SERVICIOS DE TI</t>
        </is>
      </c>
      <c r="N28" s="2" t="inlineStr">
        <is>
          <t>ACTIVE DIRECTORY</t>
        </is>
      </c>
      <c r="O28" s="2" t="inlineStr">
        <is>
          <t>BIENESTAR Y DESARROLLO SOCIAL</t>
        </is>
      </c>
      <c r="P28" s="2"/>
      <c r="Q28" s="2" t="inlineStr">
        <is>
          <t>IDGIBMZTENYZ6AT8XZTQT8XZTQ34NJ</t>
        </is>
      </c>
      <c r="R28" s="2" t="inlineStr">
        <is>
          <t>a) 0-4</t>
        </is>
      </c>
      <c r="S28" s="2" t="inlineStr">
        <is>
          <t>-</t>
        </is>
      </c>
      <c r="T28" s="2" t="inlineStr">
        <is>
          <t>30/07/2026 16:19:26</t>
        </is>
      </c>
    </row>
    <row r="29">
      <c r="A29" s="2" t="inlineStr">
        <is>
          <t>🟠</t>
        </is>
      </c>
      <c r="B29" s="3" t="str">
        <f>HYPERLINK("https://compensar-smartit.onbmc.com/smartit/app/#/incident/AGGIBMZTENYZ6AT8YBVYT8YBVY6J9M","INC000000154768")</f>
        <v>INC000000154768</v>
      </c>
      <c r="C29" s="2" t="inlineStr">
        <is>
          <t>No</t>
        </is>
      </c>
      <c r="D29" s="2" t="inlineStr">
        <is>
          <t>Falla en Equipo</t>
        </is>
      </c>
      <c r="E29" s="2" t="inlineStr">
        <is>
          <t>Asignado</t>
        </is>
      </c>
      <c r="F29" s="2" t="inlineStr">
        <is>
          <t>Ubicación para atención del Servicio: CSDE TORRE C PISO 1 PUESTOS DE TRABAJO EVENTOS
Número de contacto para la atención del servicio: 3157604908
Frente: BIENESTAR Y DESARROLLO SOCIAL
Falla: NO ENCIENDE/NO FUNCIONA
¿Cual es el dispositivo que presenta la falla?: [PORTATIL/PC]
Nombre de equipo (inventario o placa): 184006
Descripción del incidente o falla: NO PRENDE SE CARGA Y NO PRENDE.
</t>
        </is>
      </c>
      <c r="G29" s="2" t="inlineStr">
        <is>
          <t>SERVICIOS DE TECNOLOGIA-SOPORTE EQUIPOS DE COMPUTO-FALLA</t>
        </is>
      </c>
      <c r="H29" s="2" t="inlineStr">
        <is>
          <t>Portal - Web</t>
        </is>
      </c>
      <c r="I29" s="2" t="inlineStr">
        <is>
          <t>Baja</t>
        </is>
      </c>
      <c r="J29" s="4">
        <v>46232.45997685185</v>
      </c>
      <c r="K29" s="2" t="inlineStr">
        <is>
          <t>ANDERSON JULIAN RATIVA RAMIREZ</t>
        </is>
      </c>
      <c r="L29" s="2" t="inlineStr">
        <is>
          <t>ZONA CENTRO</t>
        </is>
      </c>
      <c r="M29" s="2" t="inlineStr">
        <is>
          <t>SERVICIOS DE TI</t>
        </is>
      </c>
      <c r="N29" s="2"/>
      <c r="O29" s="2" t="inlineStr">
        <is>
          <t>BIENESTAR Y DESARROLLO SOCIAL</t>
        </is>
      </c>
      <c r="P29" s="2"/>
      <c r="Q29" s="2" t="inlineStr">
        <is>
          <t>AGGIBMZTENYZ6AT8YBVYT8YBVY6J9M</t>
        </is>
      </c>
      <c r="R29" s="2" t="inlineStr">
        <is>
          <t>a) 0-4</t>
        </is>
      </c>
      <c r="S29" s="2" t="inlineStr">
        <is>
          <t>-</t>
        </is>
      </c>
      <c r="T29" s="2" t="inlineStr">
        <is>
          <t>30/07/2026 17:02:22</t>
        </is>
      </c>
    </row>
    <row r="30">
      <c r="A30" s="2" t="inlineStr">
        <is>
          <t>🟢</t>
        </is>
      </c>
      <c r="B30" s="3" t="str">
        <f>HYPERLINK("https://compensar-smartit.onbmc.com/smartit/app/#/incident/IDGIBMZTENYZ6AT8YFD8T8YFD8LO32","INC000000154782")</f>
        <v>INC000000154782</v>
      </c>
      <c r="C30" s="2" t="inlineStr">
        <is>
          <t>No</t>
        </is>
      </c>
      <c r="D30" s="2" t="inlineStr">
        <is>
          <t>Falla de ingreso perfil local Equipo biblioteca</t>
        </is>
      </c>
      <c r="E30" s="2" t="inlineStr">
        <is>
          <t>Asignado</t>
        </is>
      </c>
      <c r="F30" s="2" t="inlineStr">
        <is>
          <t>Usuario: Nicolas Huertas Rodriguez
CC: 1000330577
Teléfono: 3224483880
Correo: Nhuertsasr@compensar.com
Placa del equipo: 152800017913
Tipo de equipo: Escritorio
Incidente reportado: El usuario informa que, posterior al cambio de dominio realizado a varios equipos, uno de los equipos de uso para clientes solicita un correo electrónico y una contraseña que desconocen, ya que corresponde al equipo utilizado con el usuario de biblioteca.
Soporte de primer nivel: N/A
Ubicación: CUR, Piso 1, Bloque H.
Fecha y hora de reporte: 29/07/2026 – 11:47 a. m.
Impacto: 1
Evidencias: No adjunta evidencias.
Descripción del caso:
El usuario Nicolas Huertas Rodriguez reporta que, tras el cambio de dominio realizado el día anterior, uno de los equipos de uso para los clientes presenta una pantalla de inicio de sesión solicitando un correo electrónico y una contraseña. Indica que dichas credenciales son desconocidas, ya que el equipo es utilizado con el usuario de biblioteca. Se requiere validar la configuración aplicada durante el cambio de dominio, el perfil configurado en el equipo y restablecer el acceso correspondiente o escalar el caso al área responsable para su atención.</t>
        </is>
      </c>
      <c r="G30" s="2" t="inlineStr">
        <is>
          <t>SERVICIOS DE TECNOLOGIA-SOPORTE EQUIPOS DE COMPUTO-DANO PERFIL LOCAL</t>
        </is>
      </c>
      <c r="H30" s="2" t="inlineStr">
        <is>
          <t>Telefono</t>
        </is>
      </c>
      <c r="I30" s="2" t="inlineStr">
        <is>
          <t>Baja</t>
        </is>
      </c>
      <c r="J30" s="4">
        <v>46232.511979166666</v>
      </c>
      <c r="K30" s="2" t="inlineStr">
        <is>
          <t>ANDERSON JULIAN RATIVA RAMIREZ</t>
        </is>
      </c>
      <c r="L30" s="2" t="inlineStr">
        <is>
          <t>ZONA CENTRO</t>
        </is>
      </c>
      <c r="M30" s="2" t="inlineStr">
        <is>
          <t>SERVICIOS DE TI</t>
        </is>
      </c>
      <c r="N30" s="2" t="inlineStr">
        <is>
          <t>C017913</t>
        </is>
      </c>
      <c r="O30" s="2" t="inlineStr">
        <is>
          <t>BIENESTAR Y DESARROLLO SOCIAL</t>
        </is>
      </c>
      <c r="P30" s="2"/>
      <c r="Q30" s="2" t="inlineStr">
        <is>
          <t>IDGIBMZTENYZ6AT8YFD8T8YFD8LO32</t>
        </is>
      </c>
      <c r="R30" s="2" t="inlineStr">
        <is>
          <t>a) 0-4</t>
        </is>
      </c>
      <c r="S30" s="2" t="inlineStr">
        <is>
          <t>-</t>
        </is>
      </c>
      <c r="T30" s="2" t="inlineStr">
        <is>
          <t>30/07/2026 18:17:15</t>
        </is>
      </c>
    </row>
    <row r="31">
      <c r="A31" s="2" t="inlineStr">
        <is>
          <t>🟢</t>
        </is>
      </c>
      <c r="B31" s="3" t="str">
        <f>HYPERLINK("https://compensar-smartit.onbmc.com/smartit/app/#/incident/IDGIBMZTENYZ6AT8YGPIT8YGPINW3Y","INC000000154787")</f>
        <v>INC000000154787</v>
      </c>
      <c r="C31" s="2" t="inlineStr">
        <is>
          <t>No</t>
        </is>
      </c>
      <c r="D31" s="2" t="inlineStr">
        <is>
          <t>Falla de visualización de PDF en EV</t>
        </is>
      </c>
      <c r="E31" s="2" t="inlineStr">
        <is>
          <t>Pendiente</t>
        </is>
      </c>
      <c r="F31" s="2" t="inlineStr">
        <is>
          <t>Usuario        : Karen Lucely Mora Roa
CC             : 1048846504
Tel            : 3222752549
Informa        : La colaboradora reporta falla en el visor de PDF de EV. Indica que no le es posible visualizar las órdenes generadas desde SAP.
Ubicación      : Sede Carrera 69 Piso 3 Puesto 262
Tiempo         : 12:43 p. m. 29/07/2026
Impacto        : 1
Placa de equipo: VMAZTT3PRD5-112
Evidencias     : No especificada</t>
        </is>
      </c>
      <c r="G31" s="2" t="inlineStr">
        <is>
          <t>SERVICIOS DE TECNOLOGIA-APLICACIONES DE NEGOCIO-FALLA</t>
        </is>
      </c>
      <c r="H31" s="2" t="inlineStr">
        <is>
          <t>Telefono</t>
        </is>
      </c>
      <c r="I31" s="2" t="inlineStr">
        <is>
          <t>Baja</t>
        </is>
      </c>
      <c r="J31" s="4">
        <v>46232.533680555556</v>
      </c>
      <c r="K31" s="2" t="inlineStr">
        <is>
          <t>FABIAN JESSID PASTRANA AGUIRRE</t>
        </is>
      </c>
      <c r="L31" s="2" t="inlineStr">
        <is>
          <t>SPT ESCRITORIO VIRTUAL</t>
        </is>
      </c>
      <c r="M31" s="2" t="inlineStr">
        <is>
          <t>SERVICIOS DE TI</t>
        </is>
      </c>
      <c r="N31" s="2" t="inlineStr">
        <is>
          <t>VMAZTT3PRD5-112</t>
        </is>
      </c>
      <c r="O31" s="2" t="inlineStr">
        <is>
          <t>SALUD</t>
        </is>
      </c>
      <c r="P31" s="2"/>
      <c r="Q31" s="2" t="inlineStr">
        <is>
          <t>IDGIBMZTENYZ6AT8YGPIT8YGPINW3Y</t>
        </is>
      </c>
      <c r="R31" s="2" t="inlineStr">
        <is>
          <t>a) 0-4</t>
        </is>
      </c>
      <c r="S31" s="2" t="inlineStr">
        <is>
          <t>30/07/2026 19:00:00</t>
        </is>
      </c>
      <c r="T31" s="2" t="inlineStr">
        <is>
          <t>-</t>
        </is>
      </c>
    </row>
    <row r="32">
      <c r="A32" s="2" t="inlineStr">
        <is>
          <t>🟢</t>
        </is>
      </c>
      <c r="B32" s="3" t="str">
        <f>HYPERLINK("https://compensar-smartit.onbmc.com/smartit/app/#/incident/AGGIBMZTENYZ6AT8YJIET8YJIEQTKB","INC000000154792")</f>
        <v>INC000000154792</v>
      </c>
      <c r="C32" s="2" t="inlineStr">
        <is>
          <t>No</t>
        </is>
      </c>
      <c r="D32" s="2" t="inlineStr">
        <is>
          <t>Falla en Equipo</t>
        </is>
      </c>
      <c r="E32" s="2" t="inlineStr">
        <is>
          <t>Asignado</t>
        </is>
      </c>
      <c r="F32" s="2" t="inlineStr">
        <is>
          <t>Ubicación para atención del Servicio: BLOQUE F TORRE F PISO 1 AREA EVENTOS Y CAPACITACION
Número de contacto para la atención del servicio: 3227464999
Frente: BIENESTAR Y DESARROLLO SOCIAL
Falla: NO ENCIENDE/NO FUNCIONA
¿Cual es el dispositivo que presenta la falla?: [IMRESORA/SCANER]
Nombre de equipo (inventario o placa): C023695
Descripción del incidente o falla: Solicitamos instalación de controlador para escáner 
NOMBRE DISPOSITIVO: Fujitsu FI 7030
</t>
        </is>
      </c>
      <c r="G32" s="2" t="inlineStr">
        <is>
          <t>SERVICIOS DE TECNOLOGIA-SOPORTE EQUIPOS DE COMPUTO-FALLA</t>
        </is>
      </c>
      <c r="H32" s="2" t="inlineStr">
        <is>
          <t>Portal - Web</t>
        </is>
      </c>
      <c r="I32" s="2" t="inlineStr">
        <is>
          <t>Baja</t>
        </is>
      </c>
      <c r="J32" s="4">
        <v>46232.5700462963</v>
      </c>
      <c r="K32" s="2" t="inlineStr">
        <is>
          <t>ANDERSON JULIAN RATIVA RAMIREZ</t>
        </is>
      </c>
      <c r="L32" s="2" t="inlineStr">
        <is>
          <t>ZONA CENTRO</t>
        </is>
      </c>
      <c r="M32" s="2" t="inlineStr">
        <is>
          <t>SERVICIOS DE TI</t>
        </is>
      </c>
      <c r="N32" s="2"/>
      <c r="O32" s="2" t="inlineStr">
        <is>
          <t>BIENESTAR Y DESARROLLO SOCIAL</t>
        </is>
      </c>
      <c r="P32" s="2"/>
      <c r="Q32" s="2" t="inlineStr">
        <is>
          <t>AGGIBMZTENYZ6AT8YJIET8YJIEQTKB</t>
        </is>
      </c>
      <c r="R32" s="2" t="inlineStr">
        <is>
          <t>a) 0-4</t>
        </is>
      </c>
      <c r="S32" s="2" t="inlineStr">
        <is>
          <t>-</t>
        </is>
      </c>
      <c r="T32" s="2" t="inlineStr">
        <is>
          <t>30/07/2026 19:40:52</t>
        </is>
      </c>
    </row>
    <row r="33">
      <c r="A33" s="2" t="inlineStr">
        <is>
          <t>🟢</t>
        </is>
      </c>
      <c r="B33" s="3" t="str">
        <f>HYPERLINK("https://compensar-smartit.onbmc.com/smartit/app/#/incident/AGGIBMZTENYZ6AT8Y0ZOT8Y0ZOSM9F","INC000000154795")</f>
        <v>INC000000154795</v>
      </c>
      <c r="C33" s="2" t="inlineStr">
        <is>
          <t>No</t>
        </is>
      </c>
      <c r="D33" s="2" t="inlineStr">
        <is>
          <t>Falla en Equipo</t>
        </is>
      </c>
      <c r="E33" s="2" t="inlineStr">
        <is>
          <t>En curso</t>
        </is>
      </c>
      <c r="F33" s="2" t="inlineStr">
        <is>
          <t>Ubicación para atención del Servicio: CSDE TORRE D PISO 0 VIVIENDA
Número de contacto para la atención del servicio: 3214698687
Frente: BIENESTAR Y DESARROLLO SOCIAL
Falla: NO ENCIENDE/NO FUNCIONA
¿Cual es el dispositivo que presenta la falla?: [PORTATIL/PC]
Nombre de equipo (inventario o placa): 910500003807
Descripción del incidente o falla: al intentar ingresar al equipo ubicado sede empresarial torre D piso 2 puesto 24, no permite conectar a la red corporativa y tampoco permite ingresar con mi usuario, por favor hacer lo pertinente y apoyarse con la persona que este en recepcion el dia que validen la falla del euipo
</t>
        </is>
      </c>
      <c r="G33" s="2" t="inlineStr">
        <is>
          <t>SERVICIOS DE TECNOLOGIA-SOPORTE EQUIPOS DE COMPUTO-FALLA</t>
        </is>
      </c>
      <c r="H33" s="2" t="inlineStr">
        <is>
          <t>Portal - Web</t>
        </is>
      </c>
      <c r="I33" s="2" t="inlineStr">
        <is>
          <t>Baja</t>
        </is>
      </c>
      <c r="J33" s="4">
        <v>46232.59652777778</v>
      </c>
      <c r="K33" s="2" t="inlineStr">
        <is>
          <t>DANIEL ALEJANDRO BORDA MESTIZO</t>
        </is>
      </c>
      <c r="L33" s="2" t="inlineStr">
        <is>
          <t>ZONA CENTRO</t>
        </is>
      </c>
      <c r="M33" s="2" t="inlineStr">
        <is>
          <t>SERVICIOS DE TI</t>
        </is>
      </c>
      <c r="N33" s="2"/>
      <c r="O33" s="2" t="inlineStr">
        <is>
          <t>BIENESTAR Y DESARROLLO SOCIAL</t>
        </is>
      </c>
      <c r="P33" s="2"/>
      <c r="Q33" s="2" t="inlineStr">
        <is>
          <t>AGGIBMZTENYZ6AT8Y0ZOT8Y0ZOSM9F</t>
        </is>
      </c>
      <c r="R33" s="2" t="inlineStr">
        <is>
          <t>a) 0-4</t>
        </is>
      </c>
      <c r="S33" s="2" t="inlineStr">
        <is>
          <t>-</t>
        </is>
      </c>
      <c r="T33" s="2" t="inlineStr">
        <is>
          <t>31/07/2026 06:19:00</t>
        </is>
      </c>
    </row>
    <row r="34">
      <c r="A34" s="2" t="inlineStr">
        <is>
          <t>🟠</t>
        </is>
      </c>
      <c r="B34" s="3" t="str">
        <f>HYPERLINK("https://compensar-smartit.onbmc.com/smartit/app/#/incident/AGGEXM7CDZJ5AAT8XZ7YT8XZ7YMP3H","INC000000154805")</f>
        <v>INC000000154805</v>
      </c>
      <c r="C34" s="2" t="inlineStr">
        <is>
          <t>No</t>
        </is>
      </c>
      <c r="D34" s="2" t="inlineStr">
        <is>
          <t>Falla en Equipo</t>
        </is>
      </c>
      <c r="E34" s="2" t="inlineStr">
        <is>
          <t>En curso</t>
        </is>
      </c>
      <c r="F34" s="2" t="inlineStr">
        <is>
          <t>Ubicación para atención del Servicio: EVENTOS PRIMER PISO - OFICINA EVENTOS. 
Número de contacto para la atención del servicio: 3138044371
Frente: CORPORATIVO
Falla: NO ENCIENDE/NO FUNCIONA
¿Cual es el dispositivo que presenta la falla?: [PORTATIL/PC]
Nombre de equipo (inventario o placa): P016445
Descripción del incidente o falla: &lt;AGENTE VIRTUAL&gt; No prende/No da imagen.</t>
        </is>
      </c>
      <c r="G34" s="2" t="inlineStr">
        <is>
          <t>SERVICIOS DE TECNOLOGIA-SOPORTE EQUIPOS DE COMPUTO-FALLA</t>
        </is>
      </c>
      <c r="H34" s="2" t="inlineStr">
        <is>
          <t>ChatBot</t>
        </is>
      </c>
      <c r="I34" s="2" t="inlineStr">
        <is>
          <t>Baja</t>
        </is>
      </c>
      <c r="J34" s="4">
        <v>46232.42414351852</v>
      </c>
      <c r="K34" s="2" t="inlineStr">
        <is>
          <t>KEVIN ALEXIS GARCIA GUARACA</t>
        </is>
      </c>
      <c r="L34" s="2" t="inlineStr">
        <is>
          <t>ZONA CENTRO</t>
        </is>
      </c>
      <c r="M34" s="2" t="inlineStr">
        <is>
          <t>SERVICIOS DE TI</t>
        </is>
      </c>
      <c r="N34" s="2"/>
      <c r="O34" s="2" t="inlineStr">
        <is>
          <t>CORPORATIVO</t>
        </is>
      </c>
      <c r="P34" s="2"/>
      <c r="Q34" s="2" t="inlineStr">
        <is>
          <t>AGGEXM7CDZJ5AAT8XZ7YT8XZ7YMP3H</t>
        </is>
      </c>
      <c r="R34" s="2" t="inlineStr">
        <is>
          <t>a) 0-4</t>
        </is>
      </c>
      <c r="S34" s="2" t="inlineStr">
        <is>
          <t>-</t>
        </is>
      </c>
      <c r="T34" s="2" t="inlineStr">
        <is>
          <t>30/07/2026 16:10:46</t>
        </is>
      </c>
    </row>
    <row r="35">
      <c r="A35" s="2" t="inlineStr">
        <is>
          <t>🟢</t>
        </is>
      </c>
      <c r="B35" s="3" t="str">
        <f>HYPERLINK("https://compensar-smartit.onbmc.com/smartit/app/#/incident/IDGEXM7CDZJ5AAT8XZXIT8XZXINFOO","INC000000154808")</f>
        <v>INC000000154808</v>
      </c>
      <c r="C35" s="2" t="inlineStr">
        <is>
          <t>No</t>
        </is>
      </c>
      <c r="D35" s="2" t="inlineStr">
        <is>
          <t>Lentitud en equipo de cómputo</t>
        </is>
      </c>
      <c r="E35" s="2" t="inlineStr">
        <is>
          <t>Pendiente</t>
        </is>
      </c>
      <c r="F35" s="2" t="inlineStr">
        <is>
          <t>Usuario: Luis Felipe Acevedo Bueno
Teléfono: 3006384568
CC: 16277525
Informa: El usuario se comunica con la Mesa de Servicio indicando que el equipo de cómputo presenta lentitud en su funcionamiento.
Ubicación: Cali - Movilidad
Tiempo: 6:25 a. m. 29/07/2026
Impacto: No especificado
Placa de equipo: No especificada
Evidencias:
1. Se realizó conexión remota al equipo del usuario.
2. Se ejecutaron actividades de soporte de primer nivel para optimización del rendimiento.
3. Se verificó que la novedad persistía.
4. Se escaló el caso para la respectiva validación.</t>
        </is>
      </c>
      <c r="G35" s="2" t="inlineStr">
        <is>
          <t>SERVICIOS DE TECNOLOGIA-SOPORTE EQUIPOS DE COMPUTO-FALLA</t>
        </is>
      </c>
      <c r="H35" s="2" t="inlineStr">
        <is>
          <t>Telefono</t>
        </is>
      </c>
      <c r="I35" s="2" t="inlineStr">
        <is>
          <t>Baja</t>
        </is>
      </c>
      <c r="J35" s="4">
        <v>46232.43319444444</v>
      </c>
      <c r="K35" s="2" t="inlineStr">
        <is>
          <t>CAMILO ANDRES GONZALEZ NARVAEZ</t>
        </is>
      </c>
      <c r="L35" s="2" t="inlineStr">
        <is>
          <t>SPT REGIONALES</t>
        </is>
      </c>
      <c r="M35" s="2" t="inlineStr">
        <is>
          <t>SERVICIOS DE TI</t>
        </is>
      </c>
      <c r="N35" s="2" t="inlineStr">
        <is>
          <t>P009344</t>
        </is>
      </c>
      <c r="O35" s="2" t="inlineStr">
        <is>
          <t>SALUD</t>
        </is>
      </c>
      <c r="P35" s="2"/>
      <c r="Q35" s="2" t="inlineStr">
        <is>
          <t>IDGEXM7CDZJ5AAT8XZXIT8XZXINFOO</t>
        </is>
      </c>
      <c r="R35" s="2" t="inlineStr">
        <is>
          <t>a) 0-4</t>
        </is>
      </c>
      <c r="S35" s="2" t="inlineStr">
        <is>
          <t>30/07/2026 17:00:00</t>
        </is>
      </c>
      <c r="T35" s="2" t="inlineStr">
        <is>
          <t>-</t>
        </is>
      </c>
    </row>
    <row r="36">
      <c r="A36" s="2" t="inlineStr">
        <is>
          <t>🟠</t>
        </is>
      </c>
      <c r="B36" s="3" t="str">
        <f>HYPERLINK("https://compensar-smartit.onbmc.com/smartit/app/#/incident/IDGEXM7CDZJ5AAT8YB5LT8YB5LPIQU","INC000000154818")</f>
        <v>INC000000154818</v>
      </c>
      <c r="C36" s="2" t="inlineStr">
        <is>
          <t>No</t>
        </is>
      </c>
      <c r="D36" s="2" t="inlineStr">
        <is>
          <t>Falla de teclado de equipo</t>
        </is>
      </c>
      <c r="E36" s="2" t="inlineStr">
        <is>
          <t>Asignado</t>
        </is>
      </c>
      <c r="F36" s="2" t="inlineStr">
        <is>
          <t>Usuario        : Luz Mary Gonzalez Moreno
CC             : 35536953
Tel            : 3103380303
Informa        : La colaboradora reporta falla en el teclado del equipo. Indica que el dispositivo se encuentra dañado, el cable de conexión está roto y algunas teclas presentan bloqueo.
Ubicación      : Fontibón Piso 1 Puesto 104 SALUD ORAL
Tiempo         : 10:50 a. m. 29/07/2026
Impacto        : 1
Placa de equipo: C009164
Evidencias     : No especificada</t>
        </is>
      </c>
      <c r="G36" s="2" t="inlineStr">
        <is>
          <t>SERVICIOS DE TECNOLOGIA-SOPORTE EQUIPOS DE COMPUTO-FALLA</t>
        </is>
      </c>
      <c r="H36" s="2" t="inlineStr">
        <is>
          <t>Telefono</t>
        </is>
      </c>
      <c r="I36" s="2" t="inlineStr">
        <is>
          <t>Baja</t>
        </is>
      </c>
      <c r="J36" s="4">
        <v>46232.45667824074</v>
      </c>
      <c r="K36" s="2" t="inlineStr">
        <is>
          <t>NICK STEVE TRIANA LOPEZ</t>
        </is>
      </c>
      <c r="L36" s="2" t="inlineStr">
        <is>
          <t>ZONA OCCIDENTE</t>
        </is>
      </c>
      <c r="M36" s="2" t="inlineStr">
        <is>
          <t>SERVICIOS DE TI</t>
        </is>
      </c>
      <c r="N36" s="2" t="inlineStr">
        <is>
          <t>CC009164</t>
        </is>
      </c>
      <c r="O36" s="2" t="inlineStr">
        <is>
          <t>SALUD</t>
        </is>
      </c>
      <c r="P36" s="2"/>
      <c r="Q36" s="2" t="inlineStr">
        <is>
          <t>IDGEXM7CDZJ5AAT8YB5LT8YB5LPIQU</t>
        </is>
      </c>
      <c r="R36" s="2" t="inlineStr">
        <is>
          <t>a) 0-4</t>
        </is>
      </c>
      <c r="S36" s="2" t="inlineStr">
        <is>
          <t>-</t>
        </is>
      </c>
      <c r="T36" s="2" t="inlineStr">
        <is>
          <t>30/07/2026 16:57:37</t>
        </is>
      </c>
    </row>
    <row r="37">
      <c r="A37" s="2" t="inlineStr">
        <is>
          <t>🟢</t>
        </is>
      </c>
      <c r="B37" s="3" t="str">
        <f>HYPERLINK("https://compensar-smartit.onbmc.com/smartit/app/#/incident/IDGEXM7CDZJ5AAT8YGB3T8YGB3UNIT","INC000000154833")</f>
        <v>INC000000154833</v>
      </c>
      <c r="C37" s="2" t="inlineStr">
        <is>
          <t>No</t>
        </is>
      </c>
      <c r="D37" s="2" t="inlineStr">
        <is>
          <t>Falla De Batería</t>
        </is>
      </c>
      <c r="E37" s="2" t="inlineStr">
        <is>
          <t>Pendiente</t>
        </is>
      </c>
      <c r="F37" s="2" t="inlineStr">
        <is>
          <t>usuario:Maria Praxedes Medellin Urrego
CC: 52027882
Tel:3123351726
Correo:VIVMMEDELLIN@compensar.com
Informa: colaboradora reporta: La batería del equipo no dura nada máximo 1 hora y debo tenerlo todo el tiempo conectado adicional en ocasiones al prender toca oprimir varias veces porque no enciende. Sale la pantalla negra y con unos puntos.
Ubicación: CSDE TORRE D PISO 2 PUESTOS COLABORADORES DE VIVIENDA
Tiempo: 12:44 p. m. 29/07/2026
Impacto:  1
Evidencias:</t>
        </is>
      </c>
      <c r="G37" s="2" t="inlineStr">
        <is>
          <t>SERVICIOS DE TECNOLOGIA-INFRAESTRUCTURA-FALLAS POR HARDWARE</t>
        </is>
      </c>
      <c r="H37" s="2" t="inlineStr">
        <is>
          <t>Chat</t>
        </is>
      </c>
      <c r="I37" s="2" t="inlineStr">
        <is>
          <t>Baja</t>
        </is>
      </c>
      <c r="J37" s="4">
        <v>46232.53212962963</v>
      </c>
      <c r="K37" s="2" t="inlineStr">
        <is>
          <t>KEVIN ALEXIS GARCIA GUARACA</t>
        </is>
      </c>
      <c r="L37" s="2" t="inlineStr">
        <is>
          <t>SPT ZONA CENTRO</t>
        </is>
      </c>
      <c r="M37" s="2" t="inlineStr">
        <is>
          <t>SERVICIOS DE TI</t>
        </is>
      </c>
      <c r="N37" s="2" t="inlineStr">
        <is>
          <t>P014887</t>
        </is>
      </c>
      <c r="O37" s="2" t="inlineStr">
        <is>
          <t>ANALITICA</t>
        </is>
      </c>
      <c r="P37" s="2"/>
      <c r="Q37" s="2" t="inlineStr">
        <is>
          <t>IDGEXM7CDZJ5AAT8YGB3T8YGB3UNIT</t>
        </is>
      </c>
      <c r="R37" s="2" t="inlineStr">
        <is>
          <t>a) 0-4</t>
        </is>
      </c>
      <c r="S37" s="2" t="inlineStr">
        <is>
          <t>30/07/2026 18:00:00</t>
        </is>
      </c>
      <c r="T37" s="2" t="inlineStr">
        <is>
          <t>-</t>
        </is>
      </c>
    </row>
    <row r="38">
      <c r="A38" s="2" t="inlineStr">
        <is>
          <t>🟢</t>
        </is>
      </c>
      <c r="B38" s="3" t="str">
        <f>HYPERLINK("https://compensar-smartit.onbmc.com/smartit/app/#/incident/IDGEXM7CDZJ5AAT8YJLET8YJLEXTQL","INC000000154839")</f>
        <v>INC000000154839</v>
      </c>
      <c r="C38" s="2" t="inlineStr">
        <is>
          <t>No</t>
        </is>
      </c>
      <c r="D38" s="2" t="inlineStr">
        <is>
          <t>Micrófono no funciona</t>
        </is>
      </c>
      <c r="E38" s="2" t="inlineStr">
        <is>
          <t>En curso</t>
        </is>
      </c>
      <c r="F38" s="2" t="inlineStr">
        <is>
          <t>Usuario: Carolina Ceballos Medina
Teléfono: 3128092094
CC: 31320385
Informa: La usuaria se comunica con la Mesa de Servicio indicando que el micrófono no funciona en Microsoft Teams.
Ubicación: Movilidad piso 3 documento empresarial agencia de empleo de chapinero
Tiempo: 6:25 a. m. 29/07/2026
Impacto: No especificado
Placa de equipo: No especificada
Evidencias:
1. Se realizó conexión remota al equipo de la usuaria.
2. Se validó que Microsoft Teams contaba con los permisos de acceso al micrófono.
3. Se verificó el estado del micrófono.
4. Se evidenció que el equipo no estaba reconociendo ningún dispositivo de entrada de audio.
5. Se desinstalaron los controladores de audio y se realizó nuevamente la instalación.
6. Se reinició el equipo.
7. Se validó nuevamente el funcionamiento del micrófono, evidenciando que la falla persistía.
8. Se escaló el caso para la respectiva validación.</t>
        </is>
      </c>
      <c r="G38" s="2" t="inlineStr">
        <is>
          <t>SERVICIOS DE TECNOLOGIA-SOPORTE EQUIPOS DE COMPUTO-FALLA</t>
        </is>
      </c>
      <c r="H38" s="2" t="inlineStr">
        <is>
          <t>Telefono</t>
        </is>
      </c>
      <c r="I38" s="2" t="inlineStr">
        <is>
          <t>Baja</t>
        </is>
      </c>
      <c r="J38" s="4">
        <v>46232.58244212963</v>
      </c>
      <c r="K38" s="2" t="inlineStr">
        <is>
          <t>KEVIN ALEXIS GARCIA GUARACA</t>
        </is>
      </c>
      <c r="L38" s="2" t="inlineStr">
        <is>
          <t>ZONA CENTRO</t>
        </is>
      </c>
      <c r="M38" s="2" t="inlineStr">
        <is>
          <t>SERVICIOS DE TI</t>
        </is>
      </c>
      <c r="N38" s="2" t="inlineStr">
        <is>
          <t>P025009</t>
        </is>
      </c>
      <c r="O38" s="2" t="inlineStr">
        <is>
          <t>BIENESTAR Y DESARROLLO SOCIAL</t>
        </is>
      </c>
      <c r="P38" s="2"/>
      <c r="Q38" s="2" t="inlineStr">
        <is>
          <t>IDGEXM7CDZJ5AAT8YJLET8YJLEXTQL</t>
        </is>
      </c>
      <c r="R38" s="2" t="inlineStr">
        <is>
          <t>a) 0-4</t>
        </is>
      </c>
      <c r="S38" s="2" t="inlineStr">
        <is>
          <t>-</t>
        </is>
      </c>
      <c r="T38" s="2" t="inlineStr">
        <is>
          <t>30/07/2026 19:58:43</t>
        </is>
      </c>
    </row>
    <row r="39">
      <c r="A39" s="2" t="inlineStr">
        <is>
          <t>🟢</t>
        </is>
      </c>
      <c r="B39" s="3" t="str">
        <f>HYPERLINK("https://compensar-smartit.onbmc.com/smartit/app/#/incident/IDGEXM7CDZJ5AAT8Y31MT8Y31MC8RH","INC000000154848")</f>
        <v>INC000000154848</v>
      </c>
      <c r="C39" s="2" t="inlineStr">
        <is>
          <t>No</t>
        </is>
      </c>
      <c r="D39" s="2" t="inlineStr">
        <is>
          <t>Falla en pantalla equipo portátil , se oscurece</t>
        </is>
      </c>
      <c r="E39" s="2" t="inlineStr">
        <is>
          <t>Asignado</t>
        </is>
      </c>
      <c r="F39" s="2" t="inlineStr">
        <is>
          <t>Usuario: Martha Liliana Hurtado 
CC: 52125072
Tel: 3006003693
Informa: La colaboradora presenta falla en equipo por pantalla que se oscurece 
Ubicación: Sede empresarial 
Tiempo: 3:05 p. m. 29/07/2026
Impacto: 1
Evidencias: Se escala para su gestión
Numero de placa : 152800013169</t>
        </is>
      </c>
      <c r="G39" s="2" t="inlineStr">
        <is>
          <t>SERVICIOS DE TECNOLOGIA-SOPORTE EQUIPOS DE COMPUTO-FALLA</t>
        </is>
      </c>
      <c r="H39" s="2" t="inlineStr">
        <is>
          <t>Telefono</t>
        </is>
      </c>
      <c r="I39" s="2" t="inlineStr">
        <is>
          <t>Baja</t>
        </is>
      </c>
      <c r="J39" s="4">
        <v>46232.63290509259</v>
      </c>
      <c r="K39" s="2" t="inlineStr">
        <is>
          <t>ANDERSON JULIAN RATIVA RAMIREZ</t>
        </is>
      </c>
      <c r="L39" s="2" t="inlineStr">
        <is>
          <t>ZONA CENTRO</t>
        </is>
      </c>
      <c r="M39" s="2" t="inlineStr">
        <is>
          <t>SERVICIOS DE TI</t>
        </is>
      </c>
      <c r="N39" s="2" t="inlineStr">
        <is>
          <t>P013169</t>
        </is>
      </c>
      <c r="O39" s="2" t="inlineStr">
        <is>
          <t>BIENESTAR Y DESARROLLO SOCIAL</t>
        </is>
      </c>
      <c r="P39" s="2"/>
      <c r="Q39" s="2" t="inlineStr">
        <is>
          <t>IDGEXM7CDZJ5AAT8Y31MT8Y31MC8RH</t>
        </is>
      </c>
      <c r="R39" s="2" t="inlineStr">
        <is>
          <t>a) 0-4</t>
        </is>
      </c>
      <c r="S39" s="2" t="inlineStr">
        <is>
          <t>-</t>
        </is>
      </c>
      <c r="T39" s="2" t="inlineStr">
        <is>
          <t>31/07/2026 07:11:23</t>
        </is>
      </c>
    </row>
    <row r="40">
      <c r="A40" s="2" t="inlineStr">
        <is>
          <t>🟠</t>
        </is>
      </c>
      <c r="B40" s="3" t="str">
        <f>HYPERLINK("https://compensar-smartit.onbmc.com/smartit/app/#/incident/AGGEXM7CDZJ5AAT8Y9LKT8Y9LK1SNI","INC000000154862")</f>
        <v>INC000000154862</v>
      </c>
      <c r="C40" s="2" t="inlineStr">
        <is>
          <t>No</t>
        </is>
      </c>
      <c r="D40" s="2" t="inlineStr">
        <is>
          <t>Falla en Equipo</t>
        </is>
      </c>
      <c r="E40" s="2" t="inlineStr">
        <is>
          <t>Asignado</t>
        </is>
      </c>
      <c r="F40" s="2" t="inlineStr">
        <is>
          <t>Ubicación para atención del Servicio: CRA 69 B TORRE B PISO 4 PLANEACION DE LA INFORMACION
Número de contacto para la atención del servicio: 3016517448
Frente: SALUD
Falla: BLOQUEO
¿Cual es el dispositivo que presenta la falla?: [OTRO]
Nombre de equipo (inventario o placa): C005460
Descripción del incidente o falla: Buenos días, solicito el cambio de equipo asignado en la carrera 69, por los procesos que voy a manejar requiero de un equipo con mayor capacidad de procesamiento ya que necesito ejecutar procesos en python, sql, power BI y el equipo asignado al abrir un archivo de Excel se bloquea. Adjunto archivo con el visto bueno de líder del equipo. El equipo fue revisado y con el caso WO0000000312083 fue ESCALADO AL ADMINISTRAADOR DE ACTIVOS quienes rechazaron el cambio por falta de evidencias. Me dicen que debo eliminar archivos para optimizar memoria, este equipo me fue asignado hace aproximadamente 20 días y no tengo archivos locales, el motivo de a solicitud de cambio de equipo es que por mi cargo Científico de Datos requiero ejecutar procesos con altos volúmenes de registros en SQL, Python, Power BI y con una memoria de 8GB el equipo no lo soporta. En estos días estuve trabajando con un archivo Excel con 143.000 registros y se tardó aproximadamente 5 minutos haciendo un buscarv.
Adjunto: [AGGEXM7CDZJ5AAT8Y935T8Y9351KOM]
</t>
        </is>
      </c>
      <c r="G40" s="2" t="inlineStr">
        <is>
          <t>SERVICIOS DE TECNOLOGIA-SOPORTE EQUIPOS DE COMPUTO-FALLA</t>
        </is>
      </c>
      <c r="H40" s="2" t="inlineStr">
        <is>
          <t>Portal - Web</t>
        </is>
      </c>
      <c r="I40" s="2" t="inlineStr">
        <is>
          <t>Baja</t>
        </is>
      </c>
      <c r="J40" s="4">
        <v>46232.725648148145</v>
      </c>
      <c r="K40" s="2" t="inlineStr">
        <is>
          <t>JOSE ARLEY SANCHEZ COLORADO</t>
        </is>
      </c>
      <c r="L40" s="2" t="inlineStr">
        <is>
          <t>SPT CABECERA CARRERA 69</t>
        </is>
      </c>
      <c r="M40" s="2" t="inlineStr">
        <is>
          <t>SERVICIOS DE TI</t>
        </is>
      </c>
      <c r="N40" s="2"/>
      <c r="O40" s="2" t="inlineStr">
        <is>
          <t>SALUD</t>
        </is>
      </c>
      <c r="P40" s="2"/>
      <c r="Q40" s="2" t="inlineStr">
        <is>
          <t>AGGEXM7CDZJ5AAT8Y9LKT8Y9LK1SNI</t>
        </is>
      </c>
      <c r="R40" s="2" t="inlineStr">
        <is>
          <t>a) 0-4</t>
        </is>
      </c>
      <c r="S40" s="2" t="inlineStr">
        <is>
          <t>-</t>
        </is>
      </c>
      <c r="T40" s="2" t="inlineStr">
        <is>
          <t>30/07/2026 10:24:56</t>
        </is>
      </c>
    </row>
    <row r="41">
      <c r="A41" s="2" t="inlineStr">
        <is>
          <t>🟢</t>
        </is>
      </c>
      <c r="B41" s="3" t="str">
        <f>HYPERLINK("https://compensar-smartit.onbmc.com/smartit/app/#/incident/IDGEXM7CDZJ5AAT8YSRDT8YSRD67CZ","INC000000154866")</f>
        <v>INC000000154866</v>
      </c>
      <c r="C41" s="2" t="inlineStr">
        <is>
          <t>No</t>
        </is>
      </c>
      <c r="D41" s="2" t="inlineStr">
        <is>
          <t>Falla no carga aplicativo CHERWELL activo compensar</t>
        </is>
      </c>
      <c r="E41" s="2" t="inlineStr">
        <is>
          <t>Asignado</t>
        </is>
      </c>
      <c r="F41" s="2" t="inlineStr">
        <is>
          <t>Usuario :JOHANE ALEIDA MORA ALDANA
Informa: Falla no carga aplicativo CHERWELL
Ubicación: movilidad VPN ACTIVO  COMPENSAR
Tiempo:29-07-2026 8:44PM    1528000414
Impacto: 1         
Evidencias: NO</t>
        </is>
      </c>
      <c r="G41" s="2" t="inlineStr">
        <is>
          <t>SERVICIOS DE TECNOLOGIA-APLICACIONES DE NEGOCIO-FALLA</t>
        </is>
      </c>
      <c r="H41" s="2" t="inlineStr">
        <is>
          <t>Telefono</t>
        </is>
      </c>
      <c r="I41" s="2" t="inlineStr">
        <is>
          <t>Baja</t>
        </is>
      </c>
      <c r="J41" s="4">
        <v>46232.86436342593</v>
      </c>
      <c r="K41" s="2" t="inlineStr">
        <is>
          <t>JOSE ARLEY SANCHEZ COLORADO</t>
        </is>
      </c>
      <c r="L41" s="2" t="inlineStr">
        <is>
          <t>SPT CABECERA CARRERA 69</t>
        </is>
      </c>
      <c r="M41" s="2" t="inlineStr">
        <is>
          <t>SERVICIOS DE TI</t>
        </is>
      </c>
      <c r="N41" s="2" t="inlineStr">
        <is>
          <t>SWEX201_S-CHERWELL</t>
        </is>
      </c>
      <c r="O41" s="2" t="inlineStr">
        <is>
          <t>SALUD</t>
        </is>
      </c>
      <c r="P41" s="2"/>
      <c r="Q41" s="2" t="inlineStr">
        <is>
          <t>IDGEXM7CDZJ5AAT8YSRDT8YSRD67CZ</t>
        </is>
      </c>
      <c r="R41" s="2" t="inlineStr">
        <is>
          <t>a) 0-4</t>
        </is>
      </c>
      <c r="S41" s="2" t="inlineStr">
        <is>
          <t>-</t>
        </is>
      </c>
      <c r="T41" s="2" t="inlineStr">
        <is>
          <t>30/07/2026 13:44:41</t>
        </is>
      </c>
    </row>
    <row r="42">
      <c r="A42" s="2" t="inlineStr">
        <is>
          <t>🟢</t>
        </is>
      </c>
      <c r="B42" s="3" t="str">
        <f>HYPERLINK("https://compensar-smartit.onbmc.com/smartit/app/#/incident/IDGEXM7CDZJ5AAT8Z9DAT8Z9DANEQ9","INC000000154871")</f>
        <v>INC000000154871</v>
      </c>
      <c r="C42" s="2" t="inlineStr">
        <is>
          <t>No</t>
        </is>
      </c>
      <c r="D42" s="2" t="inlineStr">
        <is>
          <t>Falla de hardware</t>
        </is>
      </c>
      <c r="E42" s="2" t="inlineStr">
        <is>
          <t>Asignado</t>
        </is>
      </c>
      <c r="F42" s="2" t="inlineStr">
        <is>
          <t>Usuario:    Carlos Javier Bustos Morales
CC:         1014260562
Tel:        3214781542
Informa:    El colaborador reporta que varias teclas del teclado no funcionan, independientemente de la fuerza aplicada, lo que impide digitar correctamente las credenciales. Se requiere validar el periférico afectado.
Ubicación:  C26 piso 1 ventanilla 17 torre A
Tiempo:     6:30
Impacto:    1
Evidencias:</t>
        </is>
      </c>
      <c r="G42" s="2" t="inlineStr">
        <is>
          <t>SERVICIOS DE TECNOLOGIA-INFRAESTRUCTURA-FALLAS POR HARDWARE</t>
        </is>
      </c>
      <c r="H42" s="2" t="inlineStr">
        <is>
          <t>Telefono</t>
        </is>
      </c>
      <c r="I42" s="2" t="inlineStr">
        <is>
          <t>Baja</t>
        </is>
      </c>
      <c r="J42" s="4">
        <v>46233.25931712963</v>
      </c>
      <c r="K42" s="2" t="inlineStr">
        <is>
          <t>CAMILO ANDRES GONZALEZ NARVAEZ</t>
        </is>
      </c>
      <c r="L42" s="2" t="inlineStr">
        <is>
          <t>SPT CABECERA CALLE 26</t>
        </is>
      </c>
      <c r="M42" s="2" t="inlineStr">
        <is>
          <t>SERVICIOS DE TI</t>
        </is>
      </c>
      <c r="N42" s="2"/>
      <c r="O42" s="2" t="inlineStr">
        <is>
          <t>SALUD</t>
        </is>
      </c>
      <c r="P42" s="2"/>
      <c r="Q42" s="2" t="inlineStr">
        <is>
          <t>IDGEXM7CDZJ5AAT8Z9DAT8Z9DANEQ9</t>
        </is>
      </c>
      <c r="R42" s="2" t="inlineStr">
        <is>
          <t>a) 0-4</t>
        </is>
      </c>
      <c r="S42" s="2" t="inlineStr">
        <is>
          <t>-</t>
        </is>
      </c>
      <c r="T42" s="2" t="inlineStr">
        <is>
          <t>30/07/2026 14:13:25</t>
        </is>
      </c>
    </row>
    <row r="43">
      <c r="A43" s="2" t="inlineStr">
        <is>
          <t>🟢</t>
        </is>
      </c>
      <c r="B43" s="3" t="str">
        <f>HYPERLINK("https://compensar-smartit.onbmc.com/smartit/app/#/incident/AGGEXM7CDZJ5AAT8ZLNBT8ZLNBOG15","INC000000154879")</f>
        <v>INC000000154879</v>
      </c>
      <c r="C43" s="2" t="inlineStr">
        <is>
          <t>No</t>
        </is>
      </c>
      <c r="D43" s="2" t="inlineStr">
        <is>
          <t>Falla en Equipo</t>
        </is>
      </c>
      <c r="E43" s="2" t="inlineStr">
        <is>
          <t>En curso</t>
        </is>
      </c>
      <c r="F43" s="2" t="inlineStr">
        <is>
          <t>Ubicación para atención del Servicio: SUBA INTEGRAL TORRE A PISO 2 BIENESTAR PAI
Número de contacto para la atención del servicio: 3124429966
Frente: CENTRO DE SERVICIOS COMPARTIDOS
Falla: NO ENCIENDE/NO FUNCIONA
¿Cual es el dispositivo que presenta la falla?: [MONITOR]
Nombre de equipo (inventario o placa): C91053786
Descripción del incidente o falla: equipo no permite ingresos  de credenciales
</t>
        </is>
      </c>
      <c r="G43" s="2" t="inlineStr">
        <is>
          <t>SERVICIOS DE TECNOLOGIA-SOPORTE EQUIPOS DE COMPUTO-FALLA</t>
        </is>
      </c>
      <c r="H43" s="2" t="inlineStr">
        <is>
          <t>Portal - Web</t>
        </is>
      </c>
      <c r="I43" s="2" t="inlineStr">
        <is>
          <t>Baja</t>
        </is>
      </c>
      <c r="J43" s="4">
        <v>46233.296261574076</v>
      </c>
      <c r="K43" s="2" t="inlineStr">
        <is>
          <t>SEBASTIAN JERONIMO DELGADO CASTRO</t>
        </is>
      </c>
      <c r="L43" s="2" t="inlineStr">
        <is>
          <t>ZONA NOROCCIDENTE</t>
        </is>
      </c>
      <c r="M43" s="2" t="inlineStr">
        <is>
          <t>SERVICIOS DE TI</t>
        </is>
      </c>
      <c r="N43" s="2"/>
      <c r="O43" s="2" t="inlineStr">
        <is>
          <t>CENTRO DE SERVICIOS COMPARTIDOS</t>
        </is>
      </c>
      <c r="P43" s="2"/>
      <c r="Q43" s="2" t="inlineStr">
        <is>
          <t>AGGEXM7CDZJ5AAT8ZLNBT8ZLNBOG15</t>
        </is>
      </c>
      <c r="R43" s="2" t="inlineStr">
        <is>
          <t>a) 0-4</t>
        </is>
      </c>
      <c r="S43" s="2" t="inlineStr">
        <is>
          <t>-</t>
        </is>
      </c>
      <c r="T43" s="2" t="inlineStr">
        <is>
          <t>31/07/2026 13:06:37</t>
        </is>
      </c>
    </row>
    <row r="44">
      <c r="A44" s="2" t="inlineStr">
        <is>
          <t>🟢</t>
        </is>
      </c>
      <c r="B44" s="3" t="str">
        <f>HYPERLINK("https://compensar-smartit.onbmc.com/smartit/app/#/incident/IDGEXM7CDZJ5AAT8ZLV1T8ZLV1O04X","INC000000154880")</f>
        <v>INC000000154880</v>
      </c>
      <c r="C44" s="2" t="inlineStr">
        <is>
          <t>No</t>
        </is>
      </c>
      <c r="D44" s="2" t="inlineStr">
        <is>
          <t>Pantalla azul recurrente y bloqueo del equipo</t>
        </is>
      </c>
      <c r="E44" s="2" t="inlineStr">
        <is>
          <t>En curso</t>
        </is>
      </c>
      <c r="F44" s="2" t="inlineStr">
        <is>
          <t>Usuario: Alvaro Enrique Hernandez Ardila
Teléfono: 3188333689
CC: 79920883
Informa: El usuario se comunica con la Mesa de Servicio indicando que el equipo se bloquea constantemente y presenta pantalla azul de manera recurrente. Informa que previamente se realizaron mantenimiento y formateo del equipo, pero la falla continúa presentándose.
Ubicación: CSDE
Tiempo: 6:50 a. m. 30/07/2026
Impacto: No especificado
Placa de equipo: No especificada
Evidencias:
1. Se validó la información reportada por el usuario.
2. Se confirmó que el equipo ya había sido sometido a mantenimiento y formateo.
3. Se evidenció que la falla persiste.
4. Se escaló el caso para la respectiva validación.</t>
        </is>
      </c>
      <c r="G44" s="2" t="inlineStr">
        <is>
          <t>SERVICIOS DE TECNOLOGIA-SOPORTE EQUIPOS DE COMPUTO-FALLA</t>
        </is>
      </c>
      <c r="H44" s="2" t="inlineStr">
        <is>
          <t>Telefono</t>
        </is>
      </c>
      <c r="I44" s="2" t="inlineStr">
        <is>
          <t>Baja</t>
        </is>
      </c>
      <c r="J44" s="4">
        <v>46233.30034722222</v>
      </c>
      <c r="K44" s="2" t="inlineStr">
        <is>
          <t>DILAN SAMIR LOPEZ ARAUJO</t>
        </is>
      </c>
      <c r="L44" s="2" t="inlineStr">
        <is>
          <t>ZONA CENTRO</t>
        </is>
      </c>
      <c r="M44" s="2" t="inlineStr">
        <is>
          <t>SERVICIOS DE TI</t>
        </is>
      </c>
      <c r="N44" s="2" t="inlineStr">
        <is>
          <t>P009349</t>
        </is>
      </c>
      <c r="O44" s="2" t="inlineStr">
        <is>
          <t>BIENESTAR Y DESARROLLO SOCIAL</t>
        </is>
      </c>
      <c r="P44" s="2"/>
      <c r="Q44" s="2" t="inlineStr">
        <is>
          <t>IDGEXM7CDZJ5AAT8ZLV1T8ZLV1O04X</t>
        </is>
      </c>
      <c r="R44" s="2" t="inlineStr">
        <is>
          <t>a) 0-4</t>
        </is>
      </c>
      <c r="S44" s="2" t="inlineStr">
        <is>
          <t>-</t>
        </is>
      </c>
      <c r="T44" s="2" t="inlineStr">
        <is>
          <t>31/07/2026 13:12:30</t>
        </is>
      </c>
    </row>
    <row r="45">
      <c r="A45" s="2" t="inlineStr">
        <is>
          <t>🟢</t>
        </is>
      </c>
      <c r="B45" s="3" t="str">
        <f>HYPERLINK("https://compensar-smartit.onbmc.com/smartit/app/#/incident/AGGEXM7CDZJ5AAT8ZM9ST8ZM9SOLG6","INC000000154886")</f>
        <v>INC000000154886</v>
      </c>
      <c r="C45" s="2" t="inlineStr">
        <is>
          <t>No</t>
        </is>
      </c>
      <c r="D45" s="2" t="inlineStr">
        <is>
          <t>Falla en Equipo</t>
        </is>
      </c>
      <c r="E45" s="2" t="inlineStr">
        <is>
          <t>Asignado</t>
        </is>
      </c>
      <c r="F45" s="2" t="inlineStr">
        <is>
          <t>Ubicación para atención del Servicio: BLOQUE F TORRE F PISO 3 CONVENIOS COMEDORES ESCOLARES
Número de contacto para la atención del servicio: 3118401355
Frente: BIENESTAR Y DESARROLLO SOCIAL
Falla: NO ENCIENDE/NO FUNCIONA
¿Cual es el dispositivo que presenta la falla?: [MONITOR]
Nombre de equipo (inventario o placa): 910500003619
Descripción del incidente o falla: BUEN DÍA, EQUIPO MUY LENTO, SE ESTÁ TRABAJANDO EN EL Y DEMORA EN ESCRIBIR , POR FAVOR COMUNICAR A SANDRA VARGAS , UBICAD@ EN LA DIRECCIÓN CARRERA 94 C # 129 A - 04, COLEGIO GERARDO PAREDES (IED), AL NÚMERO CELULAR 3118401355, ACTIVO 910500003619 EN ELCASO DE REQUERIR CAMBIO DE LOS PERIFERICOS PARA LA ATENCION , POR FAVOR DEJAR IMPLEMENTO DE CONTINGENCIA PARA CONTINUIDAD DE LA OPERACION
</t>
        </is>
      </c>
      <c r="G45" s="2" t="inlineStr">
        <is>
          <t>SERVICIOS DE TECNOLOGIA-SOPORTE EQUIPOS DE COMPUTO-FALLA</t>
        </is>
      </c>
      <c r="H45" s="2" t="inlineStr">
        <is>
          <t>Portal - Web</t>
        </is>
      </c>
      <c r="I45" s="2" t="inlineStr">
        <is>
          <t>Baja</t>
        </is>
      </c>
      <c r="J45" s="4">
        <v>46233.309907407405</v>
      </c>
      <c r="K45" s="2" t="inlineStr">
        <is>
          <t>EDWIN ALEXIS PATIÑO TEJEDOR</t>
        </is>
      </c>
      <c r="L45" s="2" t="inlineStr">
        <is>
          <t>ZONA NORTE</t>
        </is>
      </c>
      <c r="M45" s="2" t="inlineStr">
        <is>
          <t>SERVICIOS DE TI</t>
        </is>
      </c>
      <c r="N45" s="2"/>
      <c r="O45" s="2" t="inlineStr">
        <is>
          <t>BIENESTAR Y DESARROLLO SOCIAL</t>
        </is>
      </c>
      <c r="P45" s="2"/>
      <c r="Q45" s="2" t="inlineStr">
        <is>
          <t>AGGEXM7CDZJ5AAT8ZM9ST8ZM9SOLG6</t>
        </is>
      </c>
      <c r="R45" s="2" t="inlineStr">
        <is>
          <t>a) 0-4</t>
        </is>
      </c>
      <c r="S45" s="2" t="inlineStr">
        <is>
          <t>-</t>
        </is>
      </c>
      <c r="T45" s="2" t="inlineStr">
        <is>
          <t>31/07/2026 13:26:16</t>
        </is>
      </c>
    </row>
    <row r="46">
      <c r="A46" s="2" t="inlineStr">
        <is>
          <t>🟢</t>
        </is>
      </c>
      <c r="B46" s="3" t="str">
        <f>HYPERLINK("https://compensar-smartit.onbmc.com/smartit/app/#/incident/AGGEXM7CDZJ5AAT8ZMXTT8ZMXTOUKS","INC000000154889")</f>
        <v>INC000000154889</v>
      </c>
      <c r="C46" s="2" t="inlineStr">
        <is>
          <t>No</t>
        </is>
      </c>
      <c r="D46" s="2" t="inlineStr">
        <is>
          <t>Otras Fallas</t>
        </is>
      </c>
      <c r="E46" s="2" t="inlineStr">
        <is>
          <t>Asignado</t>
        </is>
      </c>
      <c r="F46" s="2" t="inlineStr">
        <is>
          <t>Ubicación para atención del Servicio: CUR PISO 1 BIBLIOTECA
Número de contacto para la atención del servicio: 3103384699
Frente: BIENESTAR Y DESARROLLO SOCIAL
Afectación: OTRAS FALLAS
Nombre de equipo (inventario o placa): RED AFILIADOS COMPENSAR Y RED CORPORATIVO
Descripción del incidente o falla: Cordial saludo. 
Solicitamos por favor su colaboración con la revisión y arreglo de la red de internet (wifi) CORPORATIVO y AFILIADOS COMPENSAR, las cuales no tienen cobertura constante dentro de los diferentes espacios de la biblioteca para los diferentes dispositivos (TABLETS, PORTATILES, CELULARES) y esto complejiza el desarrollo de las diferentes actividades tanto de los invitados que utilizan el escenario como ambiente COWORKING, como de los docentes y auxiliares quienes deben hacer actividades dentro y fuera de la oficina interna y allí no funciona la red, el tema con los portátiles personales asignados por la organización a los docentes de la biblioteca se validó el día de ayer  por parte del área de tecnología bajo el INC154784 el cual ya fue cerrado, el compañero que realizó la ejecución de la actividad me comentó que se realizó restablecimiento de la red en los portátiles para verificar si eso mejora la estabilidad de la conexión pero comunicó que el tema de la cobertura de las redes en mención dentro del escenario de la biblioteca no estaba a su alcance y se debía radicar la novedad directamente con el área de redes. 
Teniendo en cuenta lo anterior, solicitamos su colaboración con la revisión y solución pertinente para la novedad relacionada con las dos redes wifi (CORPORATIVO y AFILIADOS COMPENSAR), que se viene presentando dentro de la biblioteca de la sede CUR. 
A continuación anexo los datos de contacto de una de las docentes de la biblioteca quien tiene todo el contexto de la novedad en caso de requerir apoyo en sitio: Myriam Buitrago 3123223779 Docente biblioteca. 
Agradezco su colaboración y quedo muy atenta a cualquier respuesta.
</t>
        </is>
      </c>
      <c r="G46" s="2" t="inlineStr">
        <is>
          <t>SERVICIOS DE TECNOLOGIA-GESTION DE APLICACIONES-FALLA</t>
        </is>
      </c>
      <c r="H46" s="2" t="inlineStr">
        <is>
          <t>Portal - Web</t>
        </is>
      </c>
      <c r="I46" s="2" t="inlineStr">
        <is>
          <t>Baja</t>
        </is>
      </c>
      <c r="J46" s="4">
        <v>46233.31575231482</v>
      </c>
      <c r="K46" s="2" t="inlineStr">
        <is>
          <t>DANIEL ALEJANDRO BORDA MESTIZO</t>
        </is>
      </c>
      <c r="L46" s="2" t="inlineStr">
        <is>
          <t>ZONA CENTRO</t>
        </is>
      </c>
      <c r="M46" s="2" t="inlineStr">
        <is>
          <t>SERVICIOS DE TI</t>
        </is>
      </c>
      <c r="N46" s="2"/>
      <c r="O46" s="2" t="inlineStr">
        <is>
          <t>BIENESTAR Y DESARROLLO SOCIAL</t>
        </is>
      </c>
      <c r="P46" s="2"/>
      <c r="Q46" s="2" t="inlineStr">
        <is>
          <t>AGGEXM7CDZJ5AAT8ZMXTT8ZMXTOUKS</t>
        </is>
      </c>
      <c r="R46" s="2" t="inlineStr">
        <is>
          <t>a) 0-4</t>
        </is>
      </c>
      <c r="S46" s="2" t="inlineStr">
        <is>
          <t>-</t>
        </is>
      </c>
      <c r="T46" s="2" t="inlineStr">
        <is>
          <t>31/07/2026 13:34:41</t>
        </is>
      </c>
    </row>
    <row r="47">
      <c r="A47" s="2" t="inlineStr">
        <is>
          <t>🟢</t>
        </is>
      </c>
      <c r="B47" s="3" t="str">
        <f>HYPERLINK("https://compensar-smartit.onbmc.com/smartit/app/#/incident/AGGEXM7CDZJ5AAT8ZP6KT8ZP6KR1HF","INC000000154897")</f>
        <v>INC000000154897</v>
      </c>
      <c r="C47" s="2" t="inlineStr">
        <is>
          <t>No</t>
        </is>
      </c>
      <c r="D47" s="2" t="inlineStr">
        <is>
          <t>Falla en Equipo</t>
        </is>
      </c>
      <c r="E47" s="2" t="inlineStr">
        <is>
          <t>Asignado</t>
        </is>
      </c>
      <c r="F47" s="2" t="inlineStr">
        <is>
          <t>Ubicación para atención del Servicio: USKEN PISO 2 APOYO TERAPEUTICO INCLUYE AREAS DE SERVICIOS
Número de contacto para la atención del servicio: 12288
Frente: SALUD
Falla: NO ENCIENDE/NO FUNCIONA
¿Cual es el dispositivo que presenta la falla?: [OTRO]
Nombre de equipo (inventario o placa): COMPUTADOR 2 PISO APOYO TERAPEUTICO
Descripción del incidente o falla: Buenos Dias, se solicita desde la unidad de kennedy, revision computador apoyo terapéutico 2 piso Dra. Adriana Lopez , debido a que reporta que no prende. Mil gracias.
</t>
        </is>
      </c>
      <c r="G47" s="2" t="inlineStr">
        <is>
          <t>SERVICIOS DE TECNOLOGIA-SOPORTE EQUIPOS DE COMPUTO-FALLA</t>
        </is>
      </c>
      <c r="H47" s="2" t="inlineStr">
        <is>
          <t>Portal - Web</t>
        </is>
      </c>
      <c r="I47" s="2" t="inlineStr">
        <is>
          <t>Baja</t>
        </is>
      </c>
      <c r="J47" s="4">
        <v>46233.35356481482</v>
      </c>
      <c r="K47" s="2" t="inlineStr">
        <is>
          <t>LUIS HERNANDO BELTRAN CORRALES</t>
        </is>
      </c>
      <c r="L47" s="2" t="inlineStr">
        <is>
          <t>SPT CABECERA KENNEDY</t>
        </is>
      </c>
      <c r="M47" s="2" t="inlineStr">
        <is>
          <t>SERVICIOS DE TI</t>
        </is>
      </c>
      <c r="N47" s="2"/>
      <c r="O47" s="2" t="inlineStr">
        <is>
          <t>SALUD</t>
        </is>
      </c>
      <c r="P47" s="2"/>
      <c r="Q47" s="2" t="inlineStr">
        <is>
          <t>AGGEXM7CDZJ5AAT8ZP6KT8ZP6KR1HF</t>
        </is>
      </c>
      <c r="R47" s="2" t="inlineStr">
        <is>
          <t>a) 0-4</t>
        </is>
      </c>
      <c r="S47" s="2" t="inlineStr">
        <is>
          <t>-</t>
        </is>
      </c>
      <c r="T47" s="2" t="inlineStr">
        <is>
          <t>30/07/2026 16:29:08</t>
        </is>
      </c>
    </row>
    <row r="48">
      <c r="A48" s="2" t="inlineStr">
        <is>
          <t>🟢</t>
        </is>
      </c>
      <c r="B48" s="3" t="str">
        <f>HYPERLINK("https://compensar-smartit.onbmc.com/smartit/app/#/incident/IDGEXM7CDZJ5AAT8ZPMHT8ZPMHR9P6","INC000000154898")</f>
        <v>INC000000154898</v>
      </c>
      <c r="C48" s="2" t="inlineStr">
        <is>
          <t>No</t>
        </is>
      </c>
      <c r="D48" s="2" t="inlineStr">
        <is>
          <t>Consulta estado de puertos de red y de equipo</t>
        </is>
      </c>
      <c r="E48" s="2" t="inlineStr">
        <is>
          <t>Asignado</t>
        </is>
      </c>
      <c r="F48" s="2" t="inlineStr">
        <is>
          <t>Usuario: MARIA LUISA MORALES PEÑA
CC:52812054 
Tel: 3114808247
Correo: mlmoralesp@compensarsalud.com 
Informa: solicita validar la maquina por redes ya que el puerto se encuentra bloqueado en el equipo y no les permite ingresar a los usuarios solicita revisar puerto de red y del equipo. 
consultorio 1 
Placa:C023776
Soporte de primer nivel: N/A
Ubicación: acueducto centro Nariño piso 1 
Tiempo: 8:25 a. m. 30/07/2026
Impacto:  1
Evidencias:</t>
        </is>
      </c>
      <c r="G48" s="2" t="inlineStr">
        <is>
          <t>SERVICIOS DE TECNOLOGIA-REDES-REVISAR CONECTIVIDAD RED</t>
        </is>
      </c>
      <c r="H48" s="2" t="inlineStr">
        <is>
          <t>Telefono</t>
        </is>
      </c>
      <c r="I48" s="2" t="inlineStr">
        <is>
          <t>Baja</t>
        </is>
      </c>
      <c r="J48" s="4">
        <v>46233.36002314815</v>
      </c>
      <c r="K48" s="2" t="inlineStr">
        <is>
          <t>SANTIAGO PERDOMO ACERO</t>
        </is>
      </c>
      <c r="L48" s="2" t="inlineStr">
        <is>
          <t>SPT ZONA CENTRO</t>
        </is>
      </c>
      <c r="M48" s="2" t="inlineStr">
        <is>
          <t>SERVICIOS DE TI</t>
        </is>
      </c>
      <c r="N48" s="2" t="inlineStr">
        <is>
          <t>C023776</t>
        </is>
      </c>
      <c r="O48" s="2" t="inlineStr">
        <is>
          <t>SALUD</t>
        </is>
      </c>
      <c r="P48" s="2"/>
      <c r="Q48" s="2" t="inlineStr">
        <is>
          <t>IDGEXM7CDZJ5AAT8ZPMHT8ZPMHR9P6</t>
        </is>
      </c>
      <c r="R48" s="2" t="inlineStr">
        <is>
          <t>a) 0-4</t>
        </is>
      </c>
      <c r="S48" s="2" t="inlineStr">
        <is>
          <t>-</t>
        </is>
      </c>
      <c r="T48" s="2" t="inlineStr">
        <is>
          <t>30/07/2026 16:38:26</t>
        </is>
      </c>
    </row>
    <row r="49">
      <c r="A49" s="2" t="inlineStr">
        <is>
          <t>🟢</t>
        </is>
      </c>
      <c r="B49" s="3" t="str">
        <f>HYPERLINK("https://compensar-smartit.onbmc.com/smartit/app/#/incident/IDGIBMZTENYZ6AT8Y6OWT8Y6OWEA1S","INC000000154908")</f>
        <v>INC000000154908</v>
      </c>
      <c r="C49" s="2" t="inlineStr">
        <is>
          <t>No</t>
        </is>
      </c>
      <c r="D49" s="2" t="inlineStr">
        <is>
          <t>Falla en el control de brillo del equipo</t>
        </is>
      </c>
      <c r="E49" s="2" t="inlineStr">
        <is>
          <t>En curso</t>
        </is>
      </c>
      <c r="F49" s="2" t="inlineStr">
        <is>
          <t>Usuario: La usuaria LEIDY LINARES FIGUEREDO se comunica con la mesa de servicio para notificar que el computador presenta fallas en el control de brillo.
Informa: La usuaria informa que el equipo continúa presentando inconvenientes con el ajuste de brillo. Indica que la falla persiste y no ha sido solucionada.
Ubicación: Movilidad.
Tiempo: 4:18 p. m. 29/07/2026.
Impacto: No especificada.
Placa de equipo: P008385.
Evidencias:
1. Se recibe el reporte de la usuaria.
2. Se valida la información suministrada.
3. La usuaria informa que la falla en el control de brillo persiste.
4. Se registra la novedad para continuar con la gestión correspondiente.</t>
        </is>
      </c>
      <c r="G49" s="2" t="inlineStr">
        <is>
          <t>SERVICIOS DE TECNOLOGIA-SOPORTE EQUIPOS DE COMPUTO-FALLA</t>
        </is>
      </c>
      <c r="H49" s="2" t="inlineStr">
        <is>
          <t>Telefono</t>
        </is>
      </c>
      <c r="I49" s="2" t="inlineStr">
        <is>
          <t>Baja</t>
        </is>
      </c>
      <c r="J49" s="4">
        <v>46232.68457175926</v>
      </c>
      <c r="K49" s="2" t="inlineStr">
        <is>
          <t>DANIEL ALEJANDRO BORDA MESTIZO</t>
        </is>
      </c>
      <c r="L49" s="2" t="inlineStr">
        <is>
          <t>ZONA CENTRO</t>
        </is>
      </c>
      <c r="M49" s="2" t="inlineStr">
        <is>
          <t>SERVICIOS DE TI</t>
        </is>
      </c>
      <c r="N49" s="2" t="inlineStr">
        <is>
          <t>P008385</t>
        </is>
      </c>
      <c r="O49" s="2" t="inlineStr">
        <is>
          <t>CENTRO DE SERVICIOS COMPARTIDOS</t>
        </is>
      </c>
      <c r="P49" s="2"/>
      <c r="Q49" s="2" t="inlineStr">
        <is>
          <t>IDGIBMZTENYZ6AT8Y6OWT8Y6OWEA1S</t>
        </is>
      </c>
      <c r="R49" s="2" t="inlineStr">
        <is>
          <t>a) 0-4</t>
        </is>
      </c>
      <c r="S49" s="2" t="inlineStr">
        <is>
          <t>-</t>
        </is>
      </c>
      <c r="T49" s="2" t="inlineStr">
        <is>
          <t>31/07/2026 08:25:47</t>
        </is>
      </c>
    </row>
    <row r="50">
      <c r="A50" s="2" t="inlineStr">
        <is>
          <t>🟢</t>
        </is>
      </c>
      <c r="B50" s="3" t="str">
        <f>HYPERLINK("https://compensar-smartit.onbmc.com/smartit/app/#/incident/AGGIBMZTENYZ6AT8Y979T8Y979HVYB","INC000000154913")</f>
        <v>INC000000154913</v>
      </c>
      <c r="C50" s="2" t="inlineStr">
        <is>
          <t>No</t>
        </is>
      </c>
      <c r="D50" s="2" t="inlineStr">
        <is>
          <t>Otras Fallas</t>
        </is>
      </c>
      <c r="E50" s="2" t="inlineStr">
        <is>
          <t>En curso</t>
        </is>
      </c>
      <c r="F50" s="2" t="inlineStr">
        <is>
          <t>Ubicación para atención del Servicio: BLOQUE F TORRE F PISO 3 CONVENIOS COMEDORES ESCOLARES
Número de contacto para la atención del servicio: 3118246016
Frente: BIENESTAR Y DESARROLLO SOCIAL
Afectación: OTRAS FALLAS
Nombre de equipo (inventario o placa): 910500003338
Descripción del incidente o falla: Buenos días 
Agradecemos de su ayuda con la siguiente solitud, Para la red COORPORATIVA de compensar para el bloque f esta demasiado lenta lenta generando conflicto para las impresiones usuarios sin lograr imprimir en toda la mañana  no permite ni imprimir ni descargar archivos pesados de 7:00 am - hasta la hora actual 5:20pm esto generando un conflicto para el traslado de 40 mil millones de pesos, mediante BPM SAP 
Gracias.
Adjunto: [AGGIBMZTENYZ6AT8Y978T8Y978HVUI]
</t>
        </is>
      </c>
      <c r="G50" s="2" t="inlineStr">
        <is>
          <t>SERVICIOS DE TECNOLOGIA-GESTION DE APLICACIONES-FALLA</t>
        </is>
      </c>
      <c r="H50" s="2" t="inlineStr">
        <is>
          <t>Portal - Web</t>
        </is>
      </c>
      <c r="I50" s="2" t="inlineStr">
        <is>
          <t>Baja</t>
        </is>
      </c>
      <c r="J50" s="4">
        <v>46232.723969907405</v>
      </c>
      <c r="K50" s="2" t="inlineStr">
        <is>
          <t>DANIEL ALEJANDRO BORDA MESTIZO</t>
        </is>
      </c>
      <c r="L50" s="2" t="inlineStr">
        <is>
          <t>ZONA CENTRO</t>
        </is>
      </c>
      <c r="M50" s="2" t="inlineStr">
        <is>
          <t>SERVICIOS DE TI</t>
        </is>
      </c>
      <c r="N50" s="2"/>
      <c r="O50" s="2" t="inlineStr">
        <is>
          <t>BIENESTAR Y DESARROLLO SOCIAL</t>
        </is>
      </c>
      <c r="P50" s="2"/>
      <c r="Q50" s="2" t="inlineStr">
        <is>
          <t>AGGIBMZTENYZ6AT8Y979T8Y979HVYB</t>
        </is>
      </c>
      <c r="R50" s="2" t="inlineStr">
        <is>
          <t>a) 0-4</t>
        </is>
      </c>
      <c r="S50" s="2" t="inlineStr">
        <is>
          <t>-</t>
        </is>
      </c>
      <c r="T50" s="2" t="inlineStr">
        <is>
          <t>31/07/2026 09:22:31</t>
        </is>
      </c>
    </row>
    <row r="51">
      <c r="A51" s="2" t="inlineStr">
        <is>
          <t>🟢</t>
        </is>
      </c>
      <c r="B51" s="3" t="str">
        <f>HYPERLINK("https://compensar-smartit.onbmc.com/smartit/app/#/incident/IDGIBMZTENYZ6AT8YLSJT8YLSJ0EOR","INC000000154917")</f>
        <v>INC000000154917</v>
      </c>
      <c r="C51" s="2" t="inlineStr">
        <is>
          <t>No</t>
        </is>
      </c>
      <c r="D51" s="2" t="inlineStr">
        <is>
          <t>Falla Equipo - Lentitud</t>
        </is>
      </c>
      <c r="E51" s="2" t="inlineStr">
        <is>
          <t>En curso</t>
        </is>
      </c>
      <c r="F51" s="2" t="inlineStr">
        <is>
          <t>Usuario: Rafael Ruiz 
Informa: Mi equipo de computo ha venido presentando lentitud para trabajar. Se toma el equipo remoto, se valida que el disco duro esta lleno, se eliminan temporales, se eliminan cache pero la falla persiste. 
📍 Ubicación: Movilidad
Activo: P019046
Tiempo: 18:00
Impacto: 1 
Evidencias: Lentitud-1.PNG Lentitud-2.PNG Lentitud-3.PNG</t>
        </is>
      </c>
      <c r="G51" s="2" t="inlineStr">
        <is>
          <t>SERVICIOS DE TECNOLOGIA-SOPORTE EQUIPOS DE COMPUTO-LENTITUD</t>
        </is>
      </c>
      <c r="H51" s="2" t="inlineStr">
        <is>
          <t>Telefono</t>
        </is>
      </c>
      <c r="I51" s="2" t="inlineStr">
        <is>
          <t>Baja</t>
        </is>
      </c>
      <c r="J51" s="4">
        <v>46232.77303240741</v>
      </c>
      <c r="K51" s="2" t="inlineStr">
        <is>
          <t>DANIEL ALEJANDRO BORDA MESTIZO</t>
        </is>
      </c>
      <c r="L51" s="2" t="inlineStr">
        <is>
          <t>ZONA CENTRO</t>
        </is>
      </c>
      <c r="M51" s="2" t="inlineStr">
        <is>
          <t>SERVICIOS DE TI</t>
        </is>
      </c>
      <c r="N51" s="2" t="inlineStr">
        <is>
          <t>P019046</t>
        </is>
      </c>
      <c r="O51" s="2" t="inlineStr">
        <is>
          <t>CLIENTES</t>
        </is>
      </c>
      <c r="P51" s="2"/>
      <c r="Q51" s="2" t="inlineStr">
        <is>
          <t>IDGIBMZTENYZ6AT8YLSJT8YLSJ0EOR</t>
        </is>
      </c>
      <c r="R51" s="2" t="inlineStr">
        <is>
          <t>a) 0-4</t>
        </is>
      </c>
      <c r="S51" s="2" t="inlineStr">
        <is>
          <t>-</t>
        </is>
      </c>
      <c r="T51" s="2" t="inlineStr">
        <is>
          <t>31/07/2026 10:33:10</t>
        </is>
      </c>
    </row>
    <row r="52">
      <c r="A52" s="2" t="inlineStr">
        <is>
          <t>🟢</t>
        </is>
      </c>
      <c r="B52" s="3" t="str">
        <f>HYPERLINK("https://compensar-smartit.onbmc.com/smartit/app/#/incident/IDGIBMZTENYZ6AT8ZKMDT8ZKMDN245","INC000000154925")</f>
        <v>INC000000154925</v>
      </c>
      <c r="C52" s="2" t="inlineStr">
        <is>
          <t>No</t>
        </is>
      </c>
      <c r="D52" s="2" t="inlineStr">
        <is>
          <t>Error de dominio no disponible al iniciar sesión en equipo corporativo</t>
        </is>
      </c>
      <c r="E52" s="2" t="inlineStr">
        <is>
          <t>Asignado</t>
        </is>
      </c>
      <c r="F52" s="2" t="inlineStr">
        <is>
          <t>Usuario: Maria Del Carmen Rodriguez Avila
CC: 1053724120
Tel: 3014776953
Informa: La funcionaria informa que no le permite iniciar sesión con sus credenciales de dominio de red o Windows en el equipo corporativo. Al intentar autenticarse, el sistema muestra un mensaje indicando que el dominio no está disponible, impidiendo el acceso al equipo.
Ubicación: Carrera 69 - Torre: A Piso: 3 Area: Autorizaciones - Puesto 052
Tiempo: 6:40 a. m. 30/07/2026
Impacto: 1
Evidencias: Funcionaria reporta que al ingresar sus credenciales de dominio de red o Windows en el equipo corporativo, se presenta el mensaje de error "El dominio no está disponible", por lo que no es posible iniciar sesión. Se requiere realizar las validaciones correspondientes para identificar la causa de la novedad y restablecer el acceso al equipo.</t>
        </is>
      </c>
      <c r="G52" s="2" t="inlineStr">
        <is>
          <t>SERVICIOS DE TECNOLOGIA-APLICACIONES DE NEGOCIO-FALLA</t>
        </is>
      </c>
      <c r="H52" s="2" t="inlineStr">
        <is>
          <t>Telefono</t>
        </is>
      </c>
      <c r="I52" s="2" t="inlineStr">
        <is>
          <t>Baja</t>
        </is>
      </c>
      <c r="J52" s="4">
        <v>46233.28462962963</v>
      </c>
      <c r="K52" s="2" t="inlineStr">
        <is>
          <t>JOSE ARLEY SANCHEZ COLORADO</t>
        </is>
      </c>
      <c r="L52" s="2" t="inlineStr">
        <is>
          <t>SPT CABECERA CARRERA 69</t>
        </is>
      </c>
      <c r="M52" s="2" t="inlineStr">
        <is>
          <t>SERVICIOS DE TI</t>
        </is>
      </c>
      <c r="N52" s="2" t="inlineStr">
        <is>
          <t>SISTEMA OPERATIVO WINDOWS</t>
        </is>
      </c>
      <c r="O52" s="2" t="inlineStr">
        <is>
          <t>SALUD</t>
        </is>
      </c>
      <c r="P52" s="2"/>
      <c r="Q52" s="2" t="inlineStr">
        <is>
          <t>IDGIBMZTENYZ6AT8ZKMDT8ZKMDN245</t>
        </is>
      </c>
      <c r="R52" s="2" t="inlineStr">
        <is>
          <t>a) 0-4</t>
        </is>
      </c>
      <c r="S52" s="2" t="inlineStr">
        <is>
          <t>-</t>
        </is>
      </c>
      <c r="T52" s="2" t="inlineStr">
        <is>
          <t>30/07/2026 14:49:52</t>
        </is>
      </c>
    </row>
    <row r="53">
      <c r="A53" s="2" t="inlineStr">
        <is>
          <t>🟢</t>
        </is>
      </c>
      <c r="B53" s="3" t="str">
        <f>HYPERLINK("https://compensar-smartit.onbmc.com/smartit/app/#/incident/IDGIBMZTENYZ6AT8ZKYBT8ZKYBN6HS","INC000000154928")</f>
        <v>INC000000154928</v>
      </c>
      <c r="C53" s="2" t="inlineStr">
        <is>
          <t>No</t>
        </is>
      </c>
      <c r="D53" s="2" t="inlineStr">
        <is>
          <t>Falla de impresión en impresora Zebra</t>
        </is>
      </c>
      <c r="E53" s="2" t="inlineStr">
        <is>
          <t>En curso</t>
        </is>
      </c>
      <c r="F53" s="2" t="inlineStr">
        <is>
          <t>Usuario         : Julieth Katherine Peña Morales
CC              : 1030643596
Tel             : 3208807028
Informa         : La colaboradora reporta falla en la impresora Zebra, indicando que no realiza impresiones correctamente desde los aplicativos.
Ubicación       : Carrera 60 piso 1 torre B puesto laboratorio
Tiempo          : 6:49 a. m. 30/07/2026
Impacto         : 1
Placa de equipo : No especificada
Evidencias      : No especificada</t>
        </is>
      </c>
      <c r="G53" s="2" t="inlineStr">
        <is>
          <t>SERVICIOS DE TECNOLOGIA-SERVICIOS DE IMPRESION/ESCANER-FALLA DE IMPRESION</t>
        </is>
      </c>
      <c r="H53" s="2" t="inlineStr">
        <is>
          <t>Telefono</t>
        </is>
      </c>
      <c r="I53" s="2" t="inlineStr">
        <is>
          <t>Baja</t>
        </is>
      </c>
      <c r="J53" s="4">
        <v>46233.287824074076</v>
      </c>
      <c r="K53" s="2" t="inlineStr">
        <is>
          <t>GERLYN RENTERIA OROZCO</t>
        </is>
      </c>
      <c r="L53" s="2" t="inlineStr">
        <is>
          <t>ZONA CENTRO</t>
        </is>
      </c>
      <c r="M53" s="2" t="inlineStr">
        <is>
          <t>SERVICIOS DE TI</t>
        </is>
      </c>
      <c r="N53" s="2" t="inlineStr">
        <is>
          <t>IMPRESION</t>
        </is>
      </c>
      <c r="O53" s="2" t="inlineStr">
        <is>
          <t>SALUD</t>
        </is>
      </c>
      <c r="P53" s="2"/>
      <c r="Q53" s="2" t="inlineStr">
        <is>
          <t>IDGIBMZTENYZ6AT8ZKYBT8ZKYBN6HS</t>
        </is>
      </c>
      <c r="R53" s="2" t="inlineStr">
        <is>
          <t>a) 0-4</t>
        </is>
      </c>
      <c r="S53" s="2" t="inlineStr">
        <is>
          <t>-</t>
        </is>
      </c>
      <c r="T53" s="2" t="inlineStr">
        <is>
          <t>31/07/2026 12:54:28</t>
        </is>
      </c>
    </row>
    <row r="54">
      <c r="A54" s="2" t="inlineStr">
        <is>
          <t>🟢</t>
        </is>
      </c>
      <c r="B54" s="3" t="str">
        <f>HYPERLINK("https://compensar-smartit.onbmc.com/smartit/app/#/incident/IDGIBMZTENYZ6AT8ZOGBT8ZOGBQIDZ","INC000000154936")</f>
        <v>INC000000154936</v>
      </c>
      <c r="C54" s="2" t="inlineStr">
        <is>
          <t>No</t>
        </is>
      </c>
      <c r="D54" s="2" t="inlineStr">
        <is>
          <t>Falla de dominio en equipo</t>
        </is>
      </c>
      <c r="E54" s="2" t="inlineStr">
        <is>
          <t>Asignado</t>
        </is>
      </c>
      <c r="F54" s="2" t="inlineStr">
        <is>
          <t>Usuario: Paola Andrea Diaz Martinez
Teléfono: 3229464080
CC: 1015450911
Informa: La usuaria se comunica con la Mesa de Servicio indicando que no puede iniciar sesión porque el dominio no se encuentra disponible.
Ubicación: Agencia de Empleo Suba
Tiempo: 6:50 a. m. 30/07/2026
Impacto: No especificado
Placa de equipo: No especificada
Evidencias:
1. Se validó la información reportada por la usuaria.
2. Se escaló el caso para la respectiva validación por el área de CSDE.</t>
        </is>
      </c>
      <c r="G54" s="2" t="inlineStr">
        <is>
          <t>SERVICIOS DE TECNOLOGIA-SOPORTE EQUIPOS DE COMPUTO-FALLA</t>
        </is>
      </c>
      <c r="H54" s="2" t="inlineStr">
        <is>
          <t>Telefono</t>
        </is>
      </c>
      <c r="I54" s="2" t="inlineStr">
        <is>
          <t>Baja</t>
        </is>
      </c>
      <c r="J54" s="4">
        <v>46233.33509259259</v>
      </c>
      <c r="K54" s="2" t="inlineStr">
        <is>
          <t>SANTIAGO PERDOMO ACERO</t>
        </is>
      </c>
      <c r="L54" s="2" t="inlineStr">
        <is>
          <t>ZONA CENTRO</t>
        </is>
      </c>
      <c r="M54" s="2" t="inlineStr">
        <is>
          <t>SERVICIOS DE TI</t>
        </is>
      </c>
      <c r="N54" s="2"/>
      <c r="O54" s="2" t="inlineStr">
        <is>
          <t>BIENESTAR Y DESARROLLO SOCIAL</t>
        </is>
      </c>
      <c r="P54" s="2"/>
      <c r="Q54" s="2" t="inlineStr">
        <is>
          <t>IDGIBMZTENYZ6AT8ZOGBT8ZOGBQIDZ</t>
        </is>
      </c>
      <c r="R54" s="2" t="inlineStr">
        <is>
          <t>a) 0-4</t>
        </is>
      </c>
      <c r="S54" s="2" t="inlineStr">
        <is>
          <t>-</t>
        </is>
      </c>
      <c r="T54" s="2" t="inlineStr">
        <is>
          <t>31/07/2026 14:02:32</t>
        </is>
      </c>
    </row>
    <row r="55">
      <c r="A55" s="2" t="inlineStr">
        <is>
          <t>🟢</t>
        </is>
      </c>
      <c r="B55" s="3" t="str">
        <f>HYPERLINK("https://compensar-smartit.onbmc.com/smartit/app/#/incident/IDGIBMZTENYZ6AT8ZOMMT8ZOMMQW73","INC000000154938")</f>
        <v>INC000000154938</v>
      </c>
      <c r="C55" s="2" t="inlineStr">
        <is>
          <t>No</t>
        </is>
      </c>
      <c r="D55" s="2" t="inlineStr">
        <is>
          <t>Falla de funcionamiento en la aplicación CX</t>
        </is>
      </c>
      <c r="E55" s="2" t="inlineStr">
        <is>
          <t>Asignado</t>
        </is>
      </c>
      <c r="F55" s="2" t="inlineStr">
        <is>
          <t>Usuario: El usuario LUIS ALBERTO MURCIA SÁNCHEZ se comunica con la mesa de servicio para notificar inconvenientes en la aplicación CX.
Informa: El usuario informa que puede ingresar a la aplicación CX; sin embargo, no le permite interactuar con las opciones disponibles. Se realiza conexión remota para validar la novedad reportada y se evidencia el comportamiento descrito por el usuario.
Ubicación: Movilidad.cra69-- piso 1 en la bodega
Tiempo: 8:04 a. m. 30/07/2026.
Impacto: No especificada.
Placa de equipo: C007543.
Evidencias:
1. Se realiza conexión remota al equipo del usuario.
2. Se valida la novedad reportada.
3. Se evidencia que el usuario puede acceder a la aplicación CX.
4. Se verifica que la aplicación no permite interactuar con sus funcionalidades.
5. Se registra la novedad para continuar con la gestión correspondiente.</t>
        </is>
      </c>
      <c r="G55" s="2" t="inlineStr">
        <is>
          <t>SERVICIOS DE TECNOLOGIA-APLICACIONES DE NEGOCIO-FALLA</t>
        </is>
      </c>
      <c r="H55" s="2" t="inlineStr">
        <is>
          <t>Telefono</t>
        </is>
      </c>
      <c r="I55" s="2" t="inlineStr">
        <is>
          <t>Baja</t>
        </is>
      </c>
      <c r="J55" s="4">
        <v>46233.34444444445</v>
      </c>
      <c r="K55" s="2" t="inlineStr">
        <is>
          <t>JOSE ARLEY SANCHEZ COLORADO</t>
        </is>
      </c>
      <c r="L55" s="2" t="inlineStr">
        <is>
          <t>SPT CABECERA CARRERA 69</t>
        </is>
      </c>
      <c r="M55" s="2" t="inlineStr">
        <is>
          <t>SERVICIOS DE TI</t>
        </is>
      </c>
      <c r="N55" s="2" t="inlineStr">
        <is>
          <t>C007543</t>
        </is>
      </c>
      <c r="O55" s="2" t="inlineStr">
        <is>
          <t>SALUD</t>
        </is>
      </c>
      <c r="P55" s="2"/>
      <c r="Q55" s="2" t="inlineStr">
        <is>
          <t>IDGIBMZTENYZ6AT8ZOMMT8ZOMMQW73</t>
        </is>
      </c>
      <c r="R55" s="2" t="inlineStr">
        <is>
          <t>a) 0-4</t>
        </is>
      </c>
      <c r="S55" s="2" t="inlineStr">
        <is>
          <t>-</t>
        </is>
      </c>
      <c r="T55" s="2" t="inlineStr">
        <is>
          <t>30/07/2026 16:16:00</t>
        </is>
      </c>
    </row>
    <row r="56">
      <c r="A56" s="2" t="inlineStr">
        <is>
          <t>🟢</t>
        </is>
      </c>
      <c r="B56" s="3" t="str">
        <f>HYPERLINK("https://compensar-smartit.onbmc.com/smartit/app/#/incident/AGGIBMZTENYZ6AT8ZOO6T8ZOO6QZTX","INC000000154939")</f>
        <v>INC000000154939</v>
      </c>
      <c r="C56" s="2" t="inlineStr">
        <is>
          <t>No</t>
        </is>
      </c>
      <c r="D56" s="2" t="inlineStr">
        <is>
          <t>Falla en Equipo</t>
        </is>
      </c>
      <c r="E56" s="2" t="inlineStr">
        <is>
          <t>Asignado</t>
        </is>
      </c>
      <c r="F56" s="2" t="inlineStr">
        <is>
          <t>Ubicación para atención del Servicio: CRA 60 PISO 1 ASCENSORES
Número de contacto para la atención del servicio: 3118379426
Frente: CENTRO DE SERVICIOS COMPARTIDOS
Falla: DAÑO FISICO
¿Cual es el dispositivo que presenta la falla?: [TECLADO]
Nombre de equipo (inventario o placa): 152800017870 - 152800017869
Descripción del incidente o falla: Buenos días solicito de su ayuda para generar el cambio de dos teclados en sede Cra 60 torre A y B, de los activos relaciones en el recuadro de Nombre equipo dado a que están muy duros y se están quedando pegadas las teclas
</t>
        </is>
      </c>
      <c r="G56" s="2" t="inlineStr">
        <is>
          <t>SERVICIOS DE TECNOLOGIA-SOPORTE EQUIPOS DE COMPUTO-FALLA</t>
        </is>
      </c>
      <c r="H56" s="2" t="inlineStr">
        <is>
          <t>Portal - Web</t>
        </is>
      </c>
      <c r="I56" s="2" t="inlineStr">
        <is>
          <t>Baja</t>
        </is>
      </c>
      <c r="J56" s="4">
        <v>46233.34185185185</v>
      </c>
      <c r="K56" s="2" t="inlineStr">
        <is>
          <t>ANDERSON JULIAN RATIVA RAMIREZ</t>
        </is>
      </c>
      <c r="L56" s="2" t="inlineStr">
        <is>
          <t>ZONA CENTRO</t>
        </is>
      </c>
      <c r="M56" s="2" t="inlineStr">
        <is>
          <t>SERVICIOS DE TI</t>
        </is>
      </c>
      <c r="N56" s="2"/>
      <c r="O56" s="2" t="inlineStr">
        <is>
          <t>CENTRO DE SERVICIOS COMPARTIDOS</t>
        </is>
      </c>
      <c r="P56" s="2"/>
      <c r="Q56" s="2" t="inlineStr">
        <is>
          <t>AGGIBMZTENYZ6AT8ZOO6T8ZOO6QZTX</t>
        </is>
      </c>
      <c r="R56" s="2" t="inlineStr">
        <is>
          <t>a) 0-4</t>
        </is>
      </c>
      <c r="S56" s="2" t="inlineStr">
        <is>
          <t>-</t>
        </is>
      </c>
      <c r="T56" s="2" t="inlineStr">
        <is>
          <t>31/07/2026 14:12:16</t>
        </is>
      </c>
    </row>
    <row r="57">
      <c r="A57" s="2" t="inlineStr">
        <is>
          <t>🟢</t>
        </is>
      </c>
      <c r="B57" s="3" t="str">
        <f>HYPERLINK("https://compensar-smartit.onbmc.com/smartit/app/#/incident/IDGIBMZTENYZ6AT8ZOP2T8ZOP2RBBS","INC000000154940")</f>
        <v>INC000000154940</v>
      </c>
      <c r="C57" s="2" t="inlineStr">
        <is>
          <t>No</t>
        </is>
      </c>
      <c r="D57" s="2" t="inlineStr">
        <is>
          <t>Falla pc fuera de dominio</t>
        </is>
      </c>
      <c r="E57" s="2" t="inlineStr">
        <is>
          <t>En curso</t>
        </is>
      </c>
      <c r="F57" s="2" t="inlineStr">
        <is>
          <t>Usuaria Maria Del Carmen Moreno 
Informa:  que regreso de vacaciones y no le funciona el ingreso al pc ya que aparece fuera de dominio 
Evidencias:    se cambia la contraseña para realizar pruebas no funciona se trasfiere para la ayuda y gestión del caso 
CC:  53165529
Tel:  3027677578
Ubicación:  MOVILIDAD
Tiempo:  8am
Impacto:  1</t>
        </is>
      </c>
      <c r="G57" s="2" t="inlineStr">
        <is>
          <t>SERVICIOS DE TECNOLOGIA-SOPORTE EQUIPOS DE COMPUTO-FALLA</t>
        </is>
      </c>
      <c r="H57" s="2" t="inlineStr">
        <is>
          <t>Telefono</t>
        </is>
      </c>
      <c r="I57" s="2" t="inlineStr">
        <is>
          <t>Baja</t>
        </is>
      </c>
      <c r="J57" s="4">
        <v>46233.34616898148</v>
      </c>
      <c r="K57" s="2" t="inlineStr">
        <is>
          <t>DILAN SAMIR LOPEZ ARAUJO</t>
        </is>
      </c>
      <c r="L57" s="2" t="inlineStr">
        <is>
          <t>ZONA CENTRO</t>
        </is>
      </c>
      <c r="M57" s="2" t="inlineStr">
        <is>
          <t>SERVICIOS DE TI</t>
        </is>
      </c>
      <c r="N57" s="2" t="inlineStr">
        <is>
          <t>P017191</t>
        </is>
      </c>
      <c r="O57" s="2" t="inlineStr">
        <is>
          <t>BIENESTAR Y DESARROLLO SOCIAL</t>
        </is>
      </c>
      <c r="P57" s="2"/>
      <c r="Q57" s="2" t="inlineStr">
        <is>
          <t>IDGIBMZTENYZ6AT8ZOP2T8ZOP2RBBS</t>
        </is>
      </c>
      <c r="R57" s="2" t="inlineStr">
        <is>
          <t>a) 0-4</t>
        </is>
      </c>
      <c r="S57" s="2" t="inlineStr">
        <is>
          <t>-</t>
        </is>
      </c>
      <c r="T57" s="2" t="inlineStr">
        <is>
          <t>31/07/2026 14:18:29</t>
        </is>
      </c>
    </row>
    <row r="58">
      <c r="A58" s="2" t="inlineStr">
        <is>
          <t>🟢</t>
        </is>
      </c>
      <c r="B58" s="3" t="str">
        <f>HYPERLINK("https://compensar-smartit.onbmc.com/smartit/app/#/incident/IDGIBMZTENYZ6AT8ZOTIT8ZOTIRG65","INC000000154941")</f>
        <v>INC000000154941</v>
      </c>
      <c r="C58" s="2" t="inlineStr">
        <is>
          <t>No</t>
        </is>
      </c>
      <c r="D58" s="2" t="inlineStr">
        <is>
          <t>Conexión remota fallida</t>
        </is>
      </c>
      <c r="E58" s="2" t="inlineStr">
        <is>
          <t>Asignado</t>
        </is>
      </c>
      <c r="F58" s="2" t="inlineStr">
        <is>
          <t>Usuario:    Yulieth Carolina Jurado Cruz
CC:         1000001816
Tel:        3007703436
Informa:    La colaboradora reporta que no es posible conectarse de forma remota al equipo ubicado en la sede, ya que se genera un mensaje indicando que el equipo está apagado, sin conexión de red o sin servidor. 
Informa que validó junto a sus compañeros reiniciar el equipo y verificar que estuviera conectado a la red, confirmando dichas actividades. Sin embargo, la falla persiste y, desde Mesa de Servicios TI no se obtiene respuesta de la dirección IP que habitualmente utiliza la colaboradora, por lo que se deduce un posible cambio de dirección IP o de la configuración de acceso remoto.
Ubicación:  Teletrabajo VPN - CRA 69 piso 2 torre A puesto 25
Tiempo:     6:30
Impacto:    1
Evidencias:</t>
        </is>
      </c>
      <c r="G58" s="2" t="inlineStr">
        <is>
          <t>SERVICIOS DE TECNOLOGIA-REDES-CONEXION FALLIDA</t>
        </is>
      </c>
      <c r="H58" s="2" t="inlineStr">
        <is>
          <t>Telefono</t>
        </is>
      </c>
      <c r="I58" s="2" t="inlineStr">
        <is>
          <t>Baja</t>
        </is>
      </c>
      <c r="J58" s="4">
        <v>46233.34730324074</v>
      </c>
      <c r="K58" s="2" t="inlineStr">
        <is>
          <t>CESAR ANDRES QUESADA VIQUE</t>
        </is>
      </c>
      <c r="L58" s="2" t="inlineStr">
        <is>
          <t>SPT CABECERA CARRERA 69</t>
        </is>
      </c>
      <c r="M58" s="2" t="inlineStr">
        <is>
          <t>SERVICIOS DE TI</t>
        </is>
      </c>
      <c r="N58" s="2"/>
      <c r="O58" s="2" t="inlineStr">
        <is>
          <t>SALUD</t>
        </is>
      </c>
      <c r="P58" s="2"/>
      <c r="Q58" s="2" t="inlineStr">
        <is>
          <t>IDGIBMZTENYZ6AT8ZOTIT8ZOTIRG65</t>
        </is>
      </c>
      <c r="R58" s="2" t="inlineStr">
        <is>
          <t>a) 0-4</t>
        </is>
      </c>
      <c r="S58" s="2" t="inlineStr">
        <is>
          <t>-</t>
        </is>
      </c>
      <c r="T58" s="2" t="inlineStr">
        <is>
          <t>30/07/2026 16:20:07</t>
        </is>
      </c>
    </row>
    <row r="59">
      <c r="A59" s="2" t="inlineStr">
        <is>
          <t>🟢</t>
        </is>
      </c>
      <c r="B59" s="3" t="str">
        <f>HYPERLINK("https://compensar-smartit.onbmc.com/smartit/app/#/incident/IDGIBMZTENYZ6AT8ZP7NT8ZP7NSCWC","INC000000154943")</f>
        <v>INC000000154943</v>
      </c>
      <c r="C59" s="2" t="inlineStr">
        <is>
          <t>No</t>
        </is>
      </c>
      <c r="D59" s="2" t="inlineStr">
        <is>
          <t>Falla Excel - No cargan archivos en el equipo</t>
        </is>
      </c>
      <c r="E59" s="2" t="inlineStr">
        <is>
          <t>Asignado</t>
        </is>
      </c>
      <c r="F59" s="2" t="inlineStr">
        <is>
          <t>Usuaria: Maira Alejandra Melo Galvis
Informa: Falla Excel -  Al descargar los documentos no cargan archivos en el equipo.
Ubicación: Movilidad
Tiempo: 8am
Impacto: 1Usuario
Evidencias: Adjunto
Activo: P009503
Se toma equipo remoto, se valida la falla indicada por la usuaria, Se procede a realizar soporte. se borra temporales, cookies y datos de navegación, se valida la configuración de la red con el equipo, se realiza de nuevo la configuración y conexión con el Excel, Se verifica que muestra información desde el Drive, pero al trabajar el mismo archivo con la aplicación no muestra la información, se hacen pruebas con diferentes documentos y la falla persiste,  Solicito su ayuda para validar la falla presentada ya que según validaciones la falla continua, se adjuntan evidencias y se escala para validación.</t>
        </is>
      </c>
      <c r="G59" s="2" t="inlineStr">
        <is>
          <t>SERVICIOS DE TECNOLOGIA-APLICACIONES DE NEGOCIO-FALLA</t>
        </is>
      </c>
      <c r="H59" s="2" t="inlineStr">
        <is>
          <t>Telefono</t>
        </is>
      </c>
      <c r="I59" s="2" t="inlineStr">
        <is>
          <t>Baja</t>
        </is>
      </c>
      <c r="J59" s="4">
        <v>46233.367789351854</v>
      </c>
      <c r="K59" s="2" t="inlineStr">
        <is>
          <t>GERLYN RENTERIA OROZCO</t>
        </is>
      </c>
      <c r="L59" s="2" t="inlineStr">
        <is>
          <t>ZONA CENTRO</t>
        </is>
      </c>
      <c r="M59" s="2" t="inlineStr">
        <is>
          <t>SERVICIOS DE TI</t>
        </is>
      </c>
      <c r="N59" s="2" t="inlineStr">
        <is>
          <t>P009503</t>
        </is>
      </c>
      <c r="O59" s="2" t="inlineStr">
        <is>
          <t>CLIENTES</t>
        </is>
      </c>
      <c r="P59" s="2"/>
      <c r="Q59" s="2" t="inlineStr">
        <is>
          <t>IDGIBMZTENYZ6AT8ZP7NT8ZP7NSCWC</t>
        </is>
      </c>
      <c r="R59" s="2" t="inlineStr">
        <is>
          <t>a) 0-4</t>
        </is>
      </c>
      <c r="S59" s="2" t="inlineStr">
        <is>
          <t>-</t>
        </is>
      </c>
      <c r="T59" s="2" t="inlineStr">
        <is>
          <t>31/07/2026 14:49:37</t>
        </is>
      </c>
    </row>
    <row r="60">
      <c r="A60" s="2" t="inlineStr">
        <is>
          <t>🟢</t>
        </is>
      </c>
      <c r="B60" s="3" t="str">
        <f>HYPERLINK("https://compensar-smartit.onbmc.com/smartit/app/#/incident/IDGIBMZTENYZ6AT8ZPWJT8ZPWJSQYP","INC000000154945")</f>
        <v>INC000000154945</v>
      </c>
      <c r="C60" s="2" t="inlineStr">
        <is>
          <t>No</t>
        </is>
      </c>
      <c r="D60" s="2" t="inlineStr">
        <is>
          <t>Falla pc</t>
        </is>
      </c>
      <c r="E60" s="2" t="inlineStr">
        <is>
          <t>Asignado</t>
        </is>
      </c>
      <c r="F60" s="2" t="inlineStr">
        <is>
          <t>Usuario: Johan Sebastian Giraldo 
Informa:  estoy intentando conectar mi portátil a una segunda pantalla. Pero no me lo permite, me parece como si hubiera un error con el controlador
Evidencias:   se valida y es falla de actualizaciones ya que el Windows no las esta tomando , se toma evidencia del error y el proceso realizado 
CC:  1031177464
Tel:  3203673745
Ubicación:  CSDE
Tiempo:  8am
Impacto:  1</t>
        </is>
      </c>
      <c r="G60" s="2" t="inlineStr">
        <is>
          <t>SERVICIOS DE TECNOLOGIA-SOPORTE EQUIPOS DE COMPUTO-FALLA</t>
        </is>
      </c>
      <c r="H60" s="2" t="inlineStr">
        <is>
          <t>Chat</t>
        </is>
      </c>
      <c r="I60" s="2" t="inlineStr">
        <is>
          <t>Baja</t>
        </is>
      </c>
      <c r="J60" s="4">
        <v>46233.37278935185</v>
      </c>
      <c r="K60" s="2" t="inlineStr">
        <is>
          <t>GERLYN RENTERIA OROZCO</t>
        </is>
      </c>
      <c r="L60" s="2" t="inlineStr">
        <is>
          <t>ZONA CENTRO</t>
        </is>
      </c>
      <c r="M60" s="2" t="inlineStr">
        <is>
          <t>SERVICIOS DE TI</t>
        </is>
      </c>
      <c r="N60" s="2" t="inlineStr">
        <is>
          <t>P016629</t>
        </is>
      </c>
      <c r="O60" s="2" t="inlineStr">
        <is>
          <t>BIENESTAR Y DESARROLLO SOCIAL</t>
        </is>
      </c>
      <c r="P60" s="2"/>
      <c r="Q60" s="2" t="inlineStr">
        <is>
          <t>IDGIBMZTENYZ6AT8ZPWJT8ZPWJSQYP</t>
        </is>
      </c>
      <c r="R60" s="2" t="inlineStr">
        <is>
          <t>a) 0-4</t>
        </is>
      </c>
      <c r="S60" s="2" t="inlineStr">
        <is>
          <t>-</t>
        </is>
      </c>
      <c r="T60" s="2" t="inlineStr">
        <is>
          <t>31/07/2026 14:56:49</t>
        </is>
      </c>
    </row>
    <row r="61">
      <c r="A61" s="2" t="inlineStr">
        <is>
          <t>🟢</t>
        </is>
      </c>
      <c r="B61" s="3" t="str">
        <f>HYPERLINK("https://compensar-smartit.onbmc.com/smartit/app/#/incident/IDGIBMZTENYZ6AT8ZQVXT8ZQVXUMU6","INC000000154952")</f>
        <v>INC000000154952</v>
      </c>
      <c r="C61" s="2" t="inlineStr">
        <is>
          <t>No</t>
        </is>
      </c>
      <c r="D61" s="2" t="inlineStr">
        <is>
          <t>Falla Audio del Equipo</t>
        </is>
      </c>
      <c r="E61" s="2" t="inlineStr">
        <is>
          <t>Asignado</t>
        </is>
      </c>
      <c r="F61" s="2" t="inlineStr">
        <is>
          <t>Usuario: Dagoberto Trujillo Bonilla
Informa: Falla Audio del Equipo
Ubicación: Movilidad
Tiempo: 9am
Impacto: 1Usuario
Evidencias: Adjunto
Activo: P020237
Se toma equipo remoto, se valida la falla indicada por la usuaria, Se procede a realizar soporte. se borra temporales, cookies y datos de navegación, se valida la configuración del audio con el equipo, se realiza de nuevo la configuración y conexión con el dispositivo conectado, Se confirma que No detecta dispositivo de salida de audio, Ni con auricular, ni con altavoz, Pero al hablar por Teams si lo escuchan, Solicito su ayuda para validar la falla presentada ya que según validaciones la falla continua, se adjuntan evidencias y se escala para validación.</t>
        </is>
      </c>
      <c r="G61" s="2" t="inlineStr">
        <is>
          <t>SERVICIOS DE TECNOLOGIA-SOPORTE EQUIPOS DE COMPUTO-FALLA</t>
        </is>
      </c>
      <c r="H61" s="2" t="inlineStr">
        <is>
          <t>Telefono</t>
        </is>
      </c>
      <c r="I61" s="2" t="inlineStr">
        <is>
          <t>Baja</t>
        </is>
      </c>
      <c r="J61" s="4">
        <v>46233.377233796295</v>
      </c>
      <c r="K61" s="2" t="inlineStr">
        <is>
          <t>ANDERSON JULIAN RATIVA RAMIREZ</t>
        </is>
      </c>
      <c r="L61" s="2" t="inlineStr">
        <is>
          <t>ZONA CENTRO</t>
        </is>
      </c>
      <c r="M61" s="2" t="inlineStr">
        <is>
          <t>SERVICIOS DE TI</t>
        </is>
      </c>
      <c r="N61" s="2" t="inlineStr">
        <is>
          <t>P020237</t>
        </is>
      </c>
      <c r="O61" s="2" t="inlineStr">
        <is>
          <t>CLIENTES</t>
        </is>
      </c>
      <c r="P61" s="2"/>
      <c r="Q61" s="2" t="inlineStr">
        <is>
          <t>IDGIBMZTENYZ6AT8ZQVXT8ZQVXUMU6</t>
        </is>
      </c>
      <c r="R61" s="2" t="inlineStr">
        <is>
          <t>a) 0-4</t>
        </is>
      </c>
      <c r="S61" s="2" t="inlineStr">
        <is>
          <t>-</t>
        </is>
      </c>
      <c r="T61" s="2" t="inlineStr">
        <is>
          <t>31/07/2026 15:03:13</t>
        </is>
      </c>
    </row>
    <row r="62">
      <c r="A62" s="2" t="inlineStr">
        <is>
          <t>🟢</t>
        </is>
      </c>
      <c r="B62" s="3" t="str">
        <f>HYPERLINK("https://compensar-smartit.onbmc.com/smartit/app/#/incident/AGGIBMZTENYZ6AT8ZRQST8ZRQSVXT2","INC000000154954")</f>
        <v>INC000000154954</v>
      </c>
      <c r="C62" s="2" t="inlineStr">
        <is>
          <t>No</t>
        </is>
      </c>
      <c r="D62" s="2" t="inlineStr">
        <is>
          <t>Falla en Equipo</t>
        </is>
      </c>
      <c r="E62" s="2" t="inlineStr">
        <is>
          <t>Asignado</t>
        </is>
      </c>
      <c r="F62" s="2" t="inlineStr">
        <is>
          <t>Ubicación para atención del Servicio: CENTRO MAYOR PISO 1 CUBICULO 1 TERAPIA FISICA
Número de contacto para la atención del servicio: 000000000
Frente: SALUD
Falla: NO ENCIENDE/NO FUNCIONA
¿Cual es el dispositivo que presenta la falla?: [IMRESORA/SCANER]
Nombre de equipo (inventario o placa): IMPRESORA RICOH 550
Descripción del incidente o falla: Usuaria reporta que impresora Ricoh de piso 2 en Centro Mayor no enciende.
</t>
        </is>
      </c>
      <c r="G62" s="2" t="inlineStr">
        <is>
          <t>SERVICIOS DE TECNOLOGIA-SOPORTE EQUIPOS DE COMPUTO-FALLA</t>
        </is>
      </c>
      <c r="H62" s="2" t="inlineStr">
        <is>
          <t>Portal - Web</t>
        </is>
      </c>
      <c r="I62" s="2" t="inlineStr">
        <is>
          <t>Baja</t>
        </is>
      </c>
      <c r="J62" s="4">
        <v>46233.387824074074</v>
      </c>
      <c r="K62" s="2" t="inlineStr">
        <is>
          <t>KAREN JULIETH ALVARADO ALVAREZ</t>
        </is>
      </c>
      <c r="L62" s="2" t="inlineStr">
        <is>
          <t>SPT CABECERA CENTRO MAYOR</t>
        </is>
      </c>
      <c r="M62" s="2" t="inlineStr">
        <is>
          <t>SERVICIOS DE TI</t>
        </is>
      </c>
      <c r="N62" s="2"/>
      <c r="O62" s="2" t="inlineStr">
        <is>
          <t>SALUD</t>
        </is>
      </c>
      <c r="P62" s="2"/>
      <c r="Q62" s="2" t="inlineStr">
        <is>
          <t>AGGIBMZTENYZ6AT8ZRQST8ZRQSVXT2</t>
        </is>
      </c>
      <c r="R62" s="2" t="inlineStr">
        <is>
          <t>a) 0-4</t>
        </is>
      </c>
      <c r="S62" s="2" t="inlineStr">
        <is>
          <t>-</t>
        </is>
      </c>
      <c r="T62" s="2" t="inlineStr">
        <is>
          <t>30/07/2026 17:18:28</t>
        </is>
      </c>
    </row>
    <row r="63">
      <c r="A63" s="2" t="inlineStr">
        <is>
          <t>🟢</t>
        </is>
      </c>
      <c r="B63" s="3" t="str">
        <f>HYPERLINK("https://compensar-smartit.onbmc.com/smartit/app/#/incident/AGGEXM7CDZJ5AAT8ZPQPT8ZPQPRRWG","INC000000155003")</f>
        <v>INC000000155003</v>
      </c>
      <c r="C63" s="2" t="inlineStr">
        <is>
          <t>No</t>
        </is>
      </c>
      <c r="D63" s="2" t="inlineStr">
        <is>
          <t>Otras Fallas</t>
        </is>
      </c>
      <c r="E63" s="2" t="inlineStr">
        <is>
          <t>Asignado</t>
        </is>
      </c>
      <c r="F63" s="2" t="inlineStr">
        <is>
          <t>Ubicación para atención del Servicio: ACUEDUCTO PISO 1 ADMINISTRACION
Número de contacto para la atención del servicio: 3138495040
Frente: CENTRO DE SERVICIOS COMPARTIDOS
Afectación: OTRO SERVICIO
Nombre del Servicio Afectado: teclado borroso, ya no se ven letras y se pegan teclas
Nombre de equipo (inventario o placa): c91053305
Descripción del incidente o falla: &lt;AGENTE VIRTUAL&gt; teclado borroso, ya no se ven letras y se pegan teclas
</t>
        </is>
      </c>
      <c r="G63" s="2" t="inlineStr">
        <is>
          <t>SERVICIOS DE TECNOLOGIA-GESTION DE APLICACIONES-FALLA</t>
        </is>
      </c>
      <c r="H63" s="2" t="inlineStr">
        <is>
          <t>ChatBot</t>
        </is>
      </c>
      <c r="I63" s="2" t="inlineStr">
        <is>
          <t>Baja</t>
        </is>
      </c>
      <c r="J63" s="4">
        <v>46233.35778935185</v>
      </c>
      <c r="K63" s="2" t="inlineStr">
        <is>
          <t>DILAN SAMIR LOPEZ ARAUJO</t>
        </is>
      </c>
      <c r="L63" s="2" t="inlineStr">
        <is>
          <t>ZONA CENTRO</t>
        </is>
      </c>
      <c r="M63" s="2" t="inlineStr">
        <is>
          <t>SERVICIOS DE TI</t>
        </is>
      </c>
      <c r="N63" s="2"/>
      <c r="O63" s="2" t="inlineStr">
        <is>
          <t>CENTRO DE SERVICIOS COMPARTIDOS</t>
        </is>
      </c>
      <c r="P63" s="2"/>
      <c r="Q63" s="2" t="inlineStr">
        <is>
          <t>AGGEXM7CDZJ5AAT8ZPQPT8ZPQPRRWG</t>
        </is>
      </c>
      <c r="R63" s="2" t="inlineStr">
        <is>
          <t>a) 0-4</t>
        </is>
      </c>
      <c r="S63" s="2" t="inlineStr">
        <is>
          <t>-</t>
        </is>
      </c>
      <c r="T63" s="2" t="inlineStr">
        <is>
          <t>31/07/2026 14:35:13</t>
        </is>
      </c>
    </row>
    <row r="64">
      <c r="A64" s="2" t="inlineStr">
        <is>
          <t>🟢</t>
        </is>
      </c>
      <c r="B64" s="3" t="str">
        <f>HYPERLINK("https://compensar-smartit.onbmc.com/smartit/app/#/incident/AGGEXM7CDZJ5AAT8ZQ4FT8ZQ4FSOKE","INC000000155008")</f>
        <v>INC000000155008</v>
      </c>
      <c r="C64" s="2" t="inlineStr">
        <is>
          <t>No</t>
        </is>
      </c>
      <c r="D64" s="2" t="inlineStr">
        <is>
          <t>Falla en Equipo</t>
        </is>
      </c>
      <c r="E64" s="2" t="inlineStr">
        <is>
          <t>Asignado</t>
        </is>
      </c>
      <c r="F64" s="2" t="inlineStr">
        <is>
          <t>Ubicación para atención del Servicio: BLOQUE F TORRE F PISO 3 CONVENIOS COMEDORES ESCOLARES
Número de contacto para la atención del servicio: 3118443662
Frente: BIENESTAR Y DESARROLLO SOCIAL
Falla: NO ENCIENDE/NO FUNCIONA
¿Cual es el dispositivo que presenta la falla?: [PORTATIL/PC]
Nombre de equipo (inventario o placa): 176872
Descripción del incidente o falla: BUEN DÍA, EL COMPUTADOR PRESENTA FALLA INTERNA ARROJA  UN ERROR EN PANTALLA  Y SUENA UN PITO CONSTANTE MENTE , SALIÓ EN LA PANTALLA CLONADA  TRES VECES , POR FAVOR COMUNICAR A ANGELICA OYOLA , UBICAD@ EN LA DIRECCIÓN CARRERA 97 C # 65 - 02 SUR, COLEGIO CIUDADELA EL RECREO SONIA OSORIO DE SAINT-MALO (IED), AL NÚMERO CELULAR 3118443662, ACTIVO 176872 EN ELCASO DE REQUERIR CAMBIO DE LOS PERIFERICOS PARA LA ATENCION , POR FAVOR DEJAR IMPLEMENTO DE CONTINGENCIA PARA CONTINUIDAD DE LA OPERACION
</t>
        </is>
      </c>
      <c r="G64" s="2" t="inlineStr">
        <is>
          <t>SERVICIOS DE TECNOLOGIA-SOPORTE EQUIPOS DE COMPUTO-FALLA</t>
        </is>
      </c>
      <c r="H64" s="2" t="inlineStr">
        <is>
          <t>Portal - Web</t>
        </is>
      </c>
      <c r="I64" s="2" t="inlineStr">
        <is>
          <t>Baja</t>
        </is>
      </c>
      <c r="J64" s="4">
        <v>46233.36755787037</v>
      </c>
      <c r="K64" s="2" t="inlineStr">
        <is>
          <t>EDWIN ALEXIS PATIÑO TEJEDOR</t>
        </is>
      </c>
      <c r="L64" s="2" t="inlineStr">
        <is>
          <t>ZONA NORTE</t>
        </is>
      </c>
      <c r="M64" s="2" t="inlineStr">
        <is>
          <t>SERVICIOS DE TI</t>
        </is>
      </c>
      <c r="N64" s="2"/>
      <c r="O64" s="2" t="inlineStr">
        <is>
          <t>BIENESTAR Y DESARROLLO SOCIAL</t>
        </is>
      </c>
      <c r="P64" s="2"/>
      <c r="Q64" s="2" t="inlineStr">
        <is>
          <t>AGGEXM7CDZJ5AAT8ZQ4FT8ZQ4FSOKE</t>
        </is>
      </c>
      <c r="R64" s="2" t="inlineStr">
        <is>
          <t>a) 0-4</t>
        </is>
      </c>
      <c r="S64" s="2" t="inlineStr">
        <is>
          <t>-</t>
        </is>
      </c>
      <c r="T64" s="2" t="inlineStr">
        <is>
          <t>31/07/2026 14:49:17</t>
        </is>
      </c>
    </row>
    <row r="65">
      <c r="A65" s="2" t="inlineStr">
        <is>
          <t>🟢</t>
        </is>
      </c>
      <c r="B65" s="3" t="str">
        <f>HYPERLINK("https://compensar-smartit.onbmc.com/smartit/app/#/incident/IDGEXM7CDZJ5AAT8ZQP3T8ZQP3TNHD","INC000000155009")</f>
        <v>INC000000155009</v>
      </c>
      <c r="C65" s="2" t="inlineStr">
        <is>
          <t>No</t>
        </is>
      </c>
      <c r="D65" s="2" t="inlineStr">
        <is>
          <t>Red – error de conexión y escalamiento de caso</t>
        </is>
      </c>
      <c r="E65" s="2" t="inlineStr">
        <is>
          <t>Asignado</t>
        </is>
      </c>
      <c r="F65" s="2" t="inlineStr">
        <is>
          <t>Usuario: Nataly Martínez Zamora
Descripción: La usuaria reporta imposibilidad de ingresar a los aplicativos debido a que el computador aparece sin red de internet.
Ubicación: Sede Av. 68 – Centro Integral
Fecha y hora: 30/07/2026 – 08:51 a. m.
Impacto: Usuario afectado: 1
Placa del equipo: P013266
Evidencias/Procedimiento realizado:  
1.Se realizan validaciones iniciales y se registran evidencias del caso para el área encargada.
2.Se escala el caso al área correspondiente para su respectiva gestión.</t>
        </is>
      </c>
      <c r="G65" s="2" t="inlineStr">
        <is>
          <t>SERVICIOS DE TECNOLOGIA-REDES-SIN ACCESO A LA RED</t>
        </is>
      </c>
      <c r="H65" s="2" t="inlineStr">
        <is>
          <t>Telefono</t>
        </is>
      </c>
      <c r="I65" s="2" t="inlineStr">
        <is>
          <t>Baja</t>
        </is>
      </c>
      <c r="J65" s="4">
        <v>46233.37556712963</v>
      </c>
      <c r="K65" s="2" t="inlineStr">
        <is>
          <t>DILAN SAMIR LOPEZ ARAUJO</t>
        </is>
      </c>
      <c r="L65" s="2" t="inlineStr">
        <is>
          <t>SPT ZONA CENTRO</t>
        </is>
      </c>
      <c r="M65" s="2" t="inlineStr">
        <is>
          <t>SERVICIOS DE TI</t>
        </is>
      </c>
      <c r="N65" s="2" t="inlineStr">
        <is>
          <t>P013266</t>
        </is>
      </c>
      <c r="O65" s="2" t="inlineStr">
        <is>
          <t>BIENESTAR Y DESARROLLO SOCIAL</t>
        </is>
      </c>
      <c r="P65" s="2"/>
      <c r="Q65" s="2" t="inlineStr">
        <is>
          <t>IDGEXM7CDZJ5AAT8ZQP3T8ZQP3TNHD</t>
        </is>
      </c>
      <c r="R65" s="2" t="inlineStr">
        <is>
          <t>a) 0-4</t>
        </is>
      </c>
      <c r="S65" s="2" t="inlineStr">
        <is>
          <t>-</t>
        </is>
      </c>
      <c r="T65" s="2" t="inlineStr">
        <is>
          <t>30/07/2026 17:00:49</t>
        </is>
      </c>
    </row>
    <row r="66">
      <c r="A66" s="2" t="inlineStr">
        <is>
          <t>🟢</t>
        </is>
      </c>
      <c r="B66" s="3" t="str">
        <f>HYPERLINK("https://compensar-smartit.onbmc.com/smartit/app/#/incident/AGGEXM7CDZJ5AAT8ZRIVT8ZRIVUPSY","INC000000155012")</f>
        <v>INC000000155012</v>
      </c>
      <c r="C66" s="2" t="inlineStr">
        <is>
          <t>No</t>
        </is>
      </c>
      <c r="D66" s="2" t="inlineStr">
        <is>
          <t>Falla en Equipo</t>
        </is>
      </c>
      <c r="E66" s="2" t="inlineStr">
        <is>
          <t>Asignado</t>
        </is>
      </c>
      <c r="F66" s="2" t="inlineStr">
        <is>
          <t>Ubicación para atención del Servicio: PRIMERA DE MAYO PISO 3 PROCEDIMIENTOS MENORES
Número de contacto para la atención del servicio: 11204
Frente: SALUD
Falla: NO ENCIENDE/NO FUNCIONA
¿Cual es el dispositivo que presenta la falla?: [OTRO]
Nombre de equipo (inventario o placa): C175027
Descripción del incidente o falla: Equipo de procedimientos sin red
</t>
        </is>
      </c>
      <c r="G66" s="2" t="inlineStr">
        <is>
          <t>SERVICIOS DE TECNOLOGIA-SOPORTE EQUIPOS DE COMPUTO-FALLA</t>
        </is>
      </c>
      <c r="H66" s="2" t="inlineStr">
        <is>
          <t>Portal - Web</t>
        </is>
      </c>
      <c r="I66" s="2" t="inlineStr">
        <is>
          <t>Baja</t>
        </is>
      </c>
      <c r="J66" s="4">
        <v>46233.3803587963</v>
      </c>
      <c r="K66" s="2" t="inlineStr">
        <is>
          <t>ALEX STEVEN RODRIGUEZ CARDENAS</t>
        </is>
      </c>
      <c r="L66" s="2" t="inlineStr">
        <is>
          <t>SPT CABECERA 1 MAYO</t>
        </is>
      </c>
      <c r="M66" s="2" t="inlineStr">
        <is>
          <t>SERVICIOS DE TI</t>
        </is>
      </c>
      <c r="N66" s="2"/>
      <c r="O66" s="2" t="inlineStr">
        <is>
          <t>SALUD</t>
        </is>
      </c>
      <c r="P66" s="2"/>
      <c r="Q66" s="2" t="inlineStr">
        <is>
          <t>AGGEXM7CDZJ5AAT8ZRIVT8ZRIVUPSY</t>
        </is>
      </c>
      <c r="R66" s="2" t="inlineStr">
        <is>
          <t>a) 0-4</t>
        </is>
      </c>
      <c r="S66" s="2" t="inlineStr">
        <is>
          <t>-</t>
        </is>
      </c>
      <c r="T66" s="2" t="inlineStr">
        <is>
          <t>30/07/2026 17:07:43</t>
        </is>
      </c>
    </row>
  </sheetData>
</worksheet>
</file>

<file path=xl/worksheets/sheet1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2.271999999999998" customWidth="1"/>
    <col min="2" max="2" width="41.064" customWidth="1"/>
    <col min="3" max="3" width="29.5" customWidth="1"/>
    <col min="4" max="4" width="180.54" customWidth="1"/>
    <col min="7" max="7" width="37.052" customWidth="1"/>
    <col min="9" max="9" width="23.836" customWidth="1"/>
    <col min="10" max="10" width="44.367999999999995" customWidth="1"/>
  </cols>
  <sheetData>
    <row r="1">
      <c r="A1" s="1" t="inlineStr">
        <is>
          <t>🚦</t>
        </is>
      </c>
      <c r="B1" s="1" t="inlineStr">
        <is>
          <t>No Caso</t>
        </is>
      </c>
      <c r="C1" s="1" t="inlineStr">
        <is>
          <t>SLA Vencido</t>
        </is>
      </c>
      <c r="D1" s="1" t="inlineStr">
        <is>
          <t>Resumen</t>
        </is>
      </c>
      <c r="E1" s="1" t="inlineStr">
        <is>
          <t>Estado</t>
        </is>
      </c>
      <c r="F1" s="1" t="inlineStr">
        <is>
          <t>Descripcion</t>
        </is>
      </c>
      <c r="G1" s="1" t="inlineStr">
        <is>
          <t>Categoria</t>
        </is>
      </c>
      <c r="H1" s="1" t="inlineStr">
        <is>
          <t>Fuente Reportada</t>
        </is>
      </c>
      <c r="I1" s="1" t="inlineStr">
        <is>
          <t>Prioridad</t>
        </is>
      </c>
      <c r="J1" s="1" t="inlineStr">
        <is>
          <t>Fecha de creación</t>
        </is>
      </c>
      <c r="K1" s="1" t="inlineStr">
        <is>
          <t>Asignado a</t>
        </is>
      </c>
      <c r="L1" s="1" t="inlineStr">
        <is>
          <t>Grupo</t>
        </is>
      </c>
      <c r="M1" s="1" t="inlineStr">
        <is>
          <t>Organizacion de Soporte</t>
        </is>
      </c>
      <c r="N1" s="1" t="inlineStr">
        <is>
          <t>CI</t>
        </is>
      </c>
      <c r="O1" s="1" t="inlineStr">
        <is>
          <t>Frente de Negocio</t>
        </is>
      </c>
      <c r="P1" s="1" t="inlineStr">
        <is>
          <t>Causa</t>
        </is>
      </c>
      <c r="Q1" s="1" t="inlineStr">
        <is>
          <t>InstanceId</t>
        </is>
      </c>
      <c r="R1" s="1" t="inlineStr">
        <is>
          <t>Antiguedad</t>
        </is>
      </c>
      <c r="S1" s="1" t="inlineStr">
        <is>
          <t>Fecha de Reactivación Pendiente</t>
        </is>
      </c>
      <c r="T1" s="1" t="inlineStr">
        <is>
          <t>Organization</t>
        </is>
      </c>
      <c r="U1" s="1" t="inlineStr">
        <is>
          <t>Fecha Incumplimiento</t>
        </is>
      </c>
      <c r="V1" s="1" t="inlineStr">
        <is>
          <t>Tiempo incumplimiento previsto</t>
        </is>
      </c>
    </row>
    <row r="2">
      <c r="A2" s="2" t="inlineStr">
        <is>
          <t>🟠</t>
        </is>
      </c>
      <c r="B2" s="3" t="str">
        <f>HYPERLINK("https://compensar-smartit.onbmc.com/smartit/app/#/workorder/IDGGSWY0I24JCAT7UUYET7UUYEPC33","WO0000000305336")</f>
        <v>WO0000000305336</v>
      </c>
      <c r="C2" s="2" t="inlineStr">
        <is>
          <t>No</t>
        </is>
      </c>
      <c r="D2" s="2" t="inlineStr">
        <is>
          <t>Envio/instalación TECLADO ALAMBRICO DELL OPTIPLEX 3050 MICRO WIN 7 activo 176389</t>
        </is>
      </c>
      <c r="E2" s="2" t="inlineStr">
        <is>
          <t>En curso</t>
        </is>
      </c>
      <c r="F2" s="2" t="inlineStr">
        <is>
          <t>Se realiza validación en sitio y se observa que varias de las teclas del equipo  dejan de funcionar lo que dificulta el trabajo del funcionario, se adjuntan evidencias e información del equipo.</t>
        </is>
      </c>
      <c r="G2" s="2" t="inlineStr">
        <is>
          <t>SERVICIOS DE TECNOLOGIA-ACTIVOS FIJOS TECNOLOGIA-ADQUISICION PARTES SIN GARANTIA</t>
        </is>
      </c>
      <c r="H2" s="2" t="inlineStr">
        <is>
          <t>Web</t>
        </is>
      </c>
      <c r="I2" s="2" t="inlineStr">
        <is>
          <t>Baja</t>
        </is>
      </c>
      <c r="J2" s="5">
        <v>46211.29791666667</v>
      </c>
      <c r="K2" s="2" t="inlineStr">
        <is>
          <t>JEFFERSON ESCOBAR ALDANA</t>
        </is>
      </c>
      <c r="L2" s="2" t="inlineStr">
        <is>
          <t>SPT ZONA SURORIENTE</t>
        </is>
      </c>
      <c r="M2" s="2" t="inlineStr">
        <is>
          <t>SERVICIOS DE TI</t>
        </is>
      </c>
      <c r="N2" s="2"/>
      <c r="O2" s="2" t="inlineStr">
        <is>
          <t>BIENESTAR Y DESARROLLO SOCIAL</t>
        </is>
      </c>
      <c r="P2" s="2"/>
      <c r="Q2" s="2" t="inlineStr">
        <is>
          <t>IDGGSWY0I24JCAT7UUYET7UUYEPC33</t>
        </is>
      </c>
      <c r="R2" s="2" t="inlineStr">
        <is>
          <t>c) 11-30</t>
        </is>
      </c>
      <c r="S2" s="4"/>
      <c r="T2" s="2"/>
      <c r="U2" s="2" t="inlineStr">
        <is>
          <t>-</t>
        </is>
      </c>
      <c r="V2" s="2" t="inlineStr">
        <is>
          <t>31/07/2026 09:19</t>
        </is>
      </c>
    </row>
    <row r="3">
      <c r="A3" s="2" t="inlineStr">
        <is>
          <t>🟢</t>
        </is>
      </c>
      <c r="B3" s="3" t="str">
        <f>HYPERLINK("https://compensar-smartit.onbmc.com/smartit/app/#/workorder/IDGIBMZTENYZ6AT8G38PT8G38PY1L0","WO0000000307624")</f>
        <v>WO0000000307624</v>
      </c>
      <c r="C3" s="2" t="inlineStr">
        <is>
          <t>No</t>
        </is>
      </c>
      <c r="D3" s="2" t="inlineStr">
        <is>
          <t>Envio/instalación MONITOR DESKTOP DELL OPTIPLEX 3050 T1 activo 152800003768</t>
        </is>
      </c>
      <c r="E3" s="2" t="inlineStr">
        <is>
          <t>En curso</t>
        </is>
      </c>
      <c r="F3" s="2" t="inlineStr">
        <is>
          <t>BUEN DÍA, MONITOR NO PRENDE, YA SE A CARGADO LAS ORDES NO 629424 , 658392 EN LAS CUALES LA SOLUCION NO ES LA ADECUADA , POR FAVOR COMUNICAR A JAKELINE HURTADO MORENO, UBICAD@ EN LA DIRECCIÓN CARRERA 80 B NO 6-71, COLEGIO EMMA REYES (IED), AL NÚMERO CELULAR 3016945284, ACTIVO 152800003768 EN ELCASO DE REQUERIR CAMBIO DE LOS PERIFERICOS PARA LA ATENCION , POR FAVOR DEJAR IMPLEMENTO DE CONTINGENCIA PARA CONTINUIDAD DE LA OPERACION</t>
        </is>
      </c>
      <c r="G3" s="2" t="inlineStr">
        <is>
          <t>SERVICIOS DE TECNOLOGIA-ACTIVOS FIJOS TECNOLOGIA-ADQUISICION PARTES SIN GARANTIA</t>
        </is>
      </c>
      <c r="H3" s="2" t="inlineStr">
        <is>
          <t>Web</t>
        </is>
      </c>
      <c r="I3" s="2" t="inlineStr">
        <is>
          <t>Baja</t>
        </is>
      </c>
      <c r="J3" s="5">
        <v>46217.51597222222</v>
      </c>
      <c r="K3" s="2" t="inlineStr">
        <is>
          <t>NICK STEVE TRIANA LOPEZ</t>
        </is>
      </c>
      <c r="L3" s="2" t="inlineStr">
        <is>
          <t>ZONA CENTRO</t>
        </is>
      </c>
      <c r="M3" s="2" t="inlineStr">
        <is>
          <t>SERVICIOS DE TI</t>
        </is>
      </c>
      <c r="N3" s="2"/>
      <c r="O3" s="2" t="inlineStr">
        <is>
          <t>BIENESTAR Y DESARROLLO SOCIAL</t>
        </is>
      </c>
      <c r="P3" s="2"/>
      <c r="Q3" s="2" t="inlineStr">
        <is>
          <t>IDGIBMZTENYZ6AT8G38PT8G38PY1L0</t>
        </is>
      </c>
      <c r="R3" s="2" t="inlineStr">
        <is>
          <t>c) 11-30</t>
        </is>
      </c>
      <c r="S3" s="4"/>
      <c r="T3" s="2"/>
      <c r="U3" s="2" t="inlineStr">
        <is>
          <t>-</t>
        </is>
      </c>
      <c r="V3" s="2" t="inlineStr">
        <is>
          <t>13/08/2026 12:23</t>
        </is>
      </c>
    </row>
    <row r="4">
      <c r="A4" s="2" t="inlineStr">
        <is>
          <t>🟢</t>
        </is>
      </c>
      <c r="B4" s="3" t="str">
        <f>HYPERLINK("https://compensar-smartit.onbmc.com/smartit/app/#/workorder/IDGIBMZTENYZ6AT8G4XJT8G4XJA1FK","WO0000000307635")</f>
        <v>WO0000000307635</v>
      </c>
      <c r="C4" s="2" t="inlineStr">
        <is>
          <t>No</t>
        </is>
      </c>
      <c r="D4" s="2" t="inlineStr">
        <is>
          <t>Envio/instalación KIT ALAMBRICO TECLADO - MOUSE DELL OPTIPLEX 3050 T3 activo 152800003582</t>
        </is>
      </c>
      <c r="E4" s="2" t="inlineStr">
        <is>
          <t>En curso</t>
        </is>
      </c>
      <c r="F4" s="2" t="inlineStr">
        <is>
          <t>amablemente se solicita garantía de mouse y teclado correspondiente al equipo con placa 152800003582 de la sede COLEGIO PORFIRIO BARBA JACOB (IED) - CALLE 70 A SUR # 81 G - 13</t>
        </is>
      </c>
      <c r="G4" s="2" t="inlineStr">
        <is>
          <t>SERVICIOS DE TECNOLOGIA-ACTIVOS FIJOS TECNOLOGIA-ADQUISICION PARTES SIN GARANTIA</t>
        </is>
      </c>
      <c r="H4" s="2" t="inlineStr">
        <is>
          <t>Web</t>
        </is>
      </c>
      <c r="I4" s="2" t="inlineStr">
        <is>
          <t>Baja</t>
        </is>
      </c>
      <c r="J4" s="5">
        <v>46217.53680555556</v>
      </c>
      <c r="K4" s="2" t="inlineStr">
        <is>
          <t>JEFFERSON ESCOBAR ALDANA</t>
        </is>
      </c>
      <c r="L4" s="2" t="inlineStr">
        <is>
          <t>ZONA SURORIENTE</t>
        </is>
      </c>
      <c r="M4" s="2" t="inlineStr">
        <is>
          <t>SERVICIOS DE TI</t>
        </is>
      </c>
      <c r="N4" s="2"/>
      <c r="O4" s="2" t="inlineStr">
        <is>
          <t>BIENESTAR Y DESARROLLO SOCIAL</t>
        </is>
      </c>
      <c r="P4" s="2"/>
      <c r="Q4" s="2" t="inlineStr">
        <is>
          <t>IDGIBMZTENYZ6AT8G4XJT8G4XJA1FK</t>
        </is>
      </c>
      <c r="R4" s="2" t="inlineStr">
        <is>
          <t>c) 11-30</t>
        </is>
      </c>
      <c r="S4" s="4"/>
      <c r="T4" s="2"/>
      <c r="U4" s="2" t="inlineStr">
        <is>
          <t>-</t>
        </is>
      </c>
      <c r="V4" s="2" t="inlineStr">
        <is>
          <t>27/08/2026 09:32</t>
        </is>
      </c>
    </row>
    <row r="5">
      <c r="A5" s="2" t="inlineStr">
        <is>
          <t>🟢</t>
        </is>
      </c>
      <c r="B5" s="3" t="str">
        <f>HYPERLINK("https://compensar-smartit.onbmc.com/smartit/app/#/workorder/AGGGSWY0I24JCAT8JYMBT8JYMBEQG0","WO0000000308723")</f>
        <v>WO0000000308723</v>
      </c>
      <c r="C5" s="2" t="inlineStr">
        <is>
          <t>No</t>
        </is>
      </c>
      <c r="D5" s="2" t="inlineStr">
        <is>
          <t>Asesoría, Acompañamiento, Actividades en Sitio y Entrega de Informes</t>
        </is>
      </c>
      <c r="E5" s="2" t="inlineStr">
        <is>
          <t>Pendiente</t>
        </is>
      </c>
      <c r="F5" s="2" t="inlineStr">
        <is>
          <t>Ubicación para atención del Servicio: SUBA INTEGRAL TORRE A PISO 1 MODULOS AUTOSERVICIO
Número de contacto para la atención del servicio: 13925
Frente: CORPORATIVO
Titulo: CRQ000000020128 - SESIONES TEAMS 21 AL 29 JULIO 10PM- PRUEBAS SERVICIOS POR AJUSTES MEJORAS SDWAN SUBA, CSDE, CLL220, CRA60, LAGOMAR, LAGOSOL
Descripción: Cordial Saludo Ingenieros Jairo, Gerson e Ingenieros Sonda
Informamos que los días martes 21, miércoles 22, jueves 23, lunes 27, martes 28, y miércoles 29 de julio desde las 10:00pm bajo el cambio CRQ000000020128 por parte del proveedor CLARO se realizara ajustes en el servicio SDWAN de sedes de SUBA INTEGRAL, SEDE EMPRESARIAL CSDE, CALLE 220, CARRERA60, LAGOMAR, LAGOSOL para mejorar la disponibilidad y balanceo del tráfico, por lo cual agradecemos su ayuda en apoyarnos en programar los recursos de Seguridad Electrónica, Plataforma TI, Soporte en sitio o remoto de Sonda y soporte Telefonía para probar los servicios o elementos de configuración que ustedes tenga a cargo bajo su administración en estas sedes, la idea es que el recurso de Sonda, Plataforma TI, Seguridad Electrónica y telefonía que ustedes puedan asignar pueda ingresar a la sesión de TEAMS y pueda ir revisando los servicios que ustedes administran una vez que el proveedor CLARO haya ejecutado la mejora en el SDWAN: Estas pruebas están aprobadas por el cambio solicitado por el ingeniero Mauricio Patalagua # CRQ000000020128
1.	El recurso de Sonda se requiere en sitio o de manera remota en las sesiones de TEAMS y que pueda estar conectado a la red Wifi Corporativa o por red cableada a algún PC de la sede, el recurso se requiere para las pruebas en SUBA INTEGRAL el martes 21 de julio a las 10pm, SEDE EMPRESARIAL CSDE el miércoles 22 de julio a las 10pm, CALLE 220 el jueves 23 de julio a las 10pm, CARRERA60 el lunes 27 de julio a las 10pm, LAGOMAR el martes 28 de julio a las 10pm, y LAGOSOL el miércoles 29 de julio a las 10pm, en donde deberá realizar pruebas de accesos a las diferentes aplicaciones que usan los usuarios como Office, TEAMS, Intranet, Portico, Onbase, sisfam, Andrómeda, digiturno, SAP, CRM, Kactus, entre otros.
2.	El recurso de Plataforma TI se requiere en las sesiones de TEAMS para revisar el estado de sus servicios que tienen en las Sedes como por ejemplo controladores de Dominio, servicios DHCP, entre otros. el recurso se requiere para las pruebas de servicios en SUBA INTEGRAL el martes 21 de julio a las 10pm, SEDE EMPRESARIAL CSDE el miércoles 22 de julio a las 10pm, CALLE 220 el jueves 23 de julio a las 10pm, CARRERA60 el lunes 27 de julio a las 10pm, LAGOMAR el martes 28 de julio a las 10pm, y LAGOSOL el miércoles 29 de julio a las 10pm.
3.	El recurso de Seguridad electrónica se requiere en las sesiónes de TEAMS para revisar el estado de sus servicios que tienen en las sedes como por ejemplo Camaras de Seguridad, DRV ente otras, el recurso se requiere para las pruebas de servicios en las sedes de SUBA INTEGRAL el martes 21 de julio a las 10pm, SEDE EMPRESARIAL CSDE el miércoles 22 de julio a las 10pm, CALLE 220 el jueves 23 de julio a las 10pm, CARRERA60 el lunes 27 de julio a las 10pm, LAGOMAR el martes 28 de julio a las 10pm, y LAGOSOL el miércoles 29 de julio a las 10pm,
4.	El recurso de Telefonia se requiere en las sesiones de TEAMS para revisar el estado de sus servicios que tienen en sede CALLE 94 como por ejemplo telefonía IP, entre otros, el recurso se requiere para probar los servicios en las sedes de SUBA INTEGRAL el martes 21 de julio a las 10pm, SEDE EMPRESARIAL CSDE el miércoles 22 de julio a las 10pm, CALLE 220 el jueves 23 de julio a las 10pm, CARRERA60 el lunes 27 de julio a las 10pm, LAGOMAR el martes 28 de julio a las 10pm, y LAGOSOL el miércoles 29 de julio a las 10pm,
Las actividades de mejora de SD-WAN de CLARO se harán en las siguientes fechas:
21/07/2026 10pm – FW1_COMPENSAR_CLL139_CMP0620 SUBA
22/07/2026 10pm – FW-SEDE_EMPRESARIAL_CMP0032
23/07/2026 10pm – FW1-COMPENSAR-CMP0027-CALLE220
27/07/2026 10pm – FW-COMPENSAR-BOG-CRA60
28/07/2026 10pm – FW-COMPENSAR-LAGOMAR-PP
29/07/2026 10pm – FW-COMPENSAR-LAGOSOL
El enlace de las sesiónes de TEAMS programadas por el proveedor CLARO desde el 21 de julio hasta el 29 de julio es el siguiente agradecemos su asistencia a todos los equipos de Compensar y CLARO a estas sesiones de TEAMS desde las 10pm:
https://teams.microsoft.com/l/meetup-join/19%3ameeting_M2U5YTI1OTgtM2E4Ni00YWJiLWE4NjMtYWEyMjlmMDExYjQy%40thread.v2/0?context=%7b%22Tid%22%3a%2246bb22b8-4c2c-40ff-8360-7b6334821279%22%2c%22Oid%22%3a%22a96058e2-f5a2-4074-bb38-43d9ebe2be12%22%7d
Tipo de Servicio: ACOMPAÑAMIENTO / EJECUCION DE ACTIVIDAD EN SITIO
Grupo Requerido: ZONA NORTE
Fecha requerida para la actividad: 2026-07-21
Duración de la actividad en minutos: 180
Adjunto: [AGGGSWY0I24JCAT8JYL1T8JYL1EPAE]
</t>
        </is>
      </c>
      <c r="G5" s="2" t="inlineStr">
        <is>
          <t>SERVICIOS DE TECNOLOGIA-ASESORIA/ACOMPANAMIENTO/ACTIVIDADES-ACOMPAÑAMIENTO / EJECUCION DE ACTIVIDAD EN SITIO</t>
        </is>
      </c>
      <c r="H5" s="2" t="inlineStr">
        <is>
          <t>Web</t>
        </is>
      </c>
      <c r="I5" s="2" t="inlineStr">
        <is>
          <t>Baja</t>
        </is>
      </c>
      <c r="J5" s="5">
        <v>46219.450694444444</v>
      </c>
      <c r="K5" s="2" t="inlineStr">
        <is>
          <t>DANIEL ALEJANDRO BORDA MESTIZO</t>
        </is>
      </c>
      <c r="L5" s="2" t="inlineStr">
        <is>
          <t>ZONA CENTRO</t>
        </is>
      </c>
      <c r="M5" s="2" t="inlineStr">
        <is>
          <t>SERVICIOS DE TI</t>
        </is>
      </c>
      <c r="N5" s="2"/>
      <c r="O5" s="2" t="inlineStr">
        <is>
          <t>CORPORATIVO</t>
        </is>
      </c>
      <c r="P5" s="2"/>
      <c r="Q5" s="2" t="inlineStr">
        <is>
          <t>AGGGSWY0I24JCAT8JYMBT8JYMBEQG0</t>
        </is>
      </c>
      <c r="R5" s="2" t="inlineStr">
        <is>
          <t>c) 11-30</t>
        </is>
      </c>
      <c r="S5" s="4">
        <v>46233.708333333336</v>
      </c>
      <c r="T5" s="2"/>
      <c r="U5" s="2" t="inlineStr">
        <is>
          <t>-</t>
        </is>
      </c>
      <c r="V5" s="2" t="inlineStr">
        <is>
          <t>24/07/2026 10:31</t>
        </is>
      </c>
    </row>
    <row r="6">
      <c r="A6" s="2" t="inlineStr">
        <is>
          <t>🟢</t>
        </is>
      </c>
      <c r="B6" s="3" t="str">
        <f>HYPERLINK("https://compensar-smartit.onbmc.com/smartit/app/#/workorder/IDGGSWY0I24JCAT81M9DT81M9D1V06","WO0000000309139")</f>
        <v>WO0000000309139</v>
      </c>
      <c r="C6" s="2" t="inlineStr">
        <is>
          <t>No</t>
        </is>
      </c>
      <c r="D6" s="2" t="inlineStr">
        <is>
          <t>Continuación caso: ID de petición 665754</t>
        </is>
      </c>
      <c r="E6" s="2" t="inlineStr">
        <is>
          <t>Pendiente</t>
        </is>
      </c>
      <c r="F6" s="2" t="inlineStr">
        <is>
          <t>Usuaria: Doris Patricia Perez Jaimes
Informa: ""Solicitamos la instalación de VPN pero estaba en vacaciones y me llamaron pero no pude atender la llamada. Me dicen que ya tengo usuario para conectarme pero no tengo la aplicación.""
Ubicación: Movilidad
Tiempo: 8am
Impacto: 1Usuario
Evidencias: No aplica</t>
        </is>
      </c>
      <c r="G6" s="2" t="inlineStr">
        <is>
          <t>SERVICIOS DE TECNOLOGIA-GESTION DE APLICACIONES-INSTALAR DESINSTALAR APLICACION</t>
        </is>
      </c>
      <c r="H6" s="2" t="inlineStr">
        <is>
          <t>Chat</t>
        </is>
      </c>
      <c r="I6" s="2" t="inlineStr">
        <is>
          <t>Baja</t>
        </is>
      </c>
      <c r="J6" s="5">
        <v>46220.353472222225</v>
      </c>
      <c r="K6" s="2" t="inlineStr">
        <is>
          <t>NICK STEVE TRIANA LOPEZ</t>
        </is>
      </c>
      <c r="L6" s="2" t="inlineStr">
        <is>
          <t>ZONA OCCIDENTE</t>
        </is>
      </c>
      <c r="M6" s="2" t="inlineStr">
        <is>
          <t>SERVICIOS DE TI</t>
        </is>
      </c>
      <c r="N6" s="2"/>
      <c r="O6" s="2" t="inlineStr">
        <is>
          <t>SALUD</t>
        </is>
      </c>
      <c r="P6" s="2"/>
      <c r="Q6" s="2" t="inlineStr">
        <is>
          <t>IDGGSWY0I24JCAT81M9DT81M9D1V06</t>
        </is>
      </c>
      <c r="R6" s="2" t="inlineStr">
        <is>
          <t>c) 11-30</t>
        </is>
      </c>
      <c r="S6" s="4">
        <v>46234.75</v>
      </c>
      <c r="T6" s="2"/>
      <c r="U6" s="2" t="inlineStr">
        <is>
          <t>-</t>
        </is>
      </c>
      <c r="V6" s="2" t="inlineStr">
        <is>
          <t>-</t>
        </is>
      </c>
    </row>
    <row r="7">
      <c r="A7" s="2" t="inlineStr">
        <is>
          <t>🟢</t>
        </is>
      </c>
      <c r="B7" s="3" t="str">
        <f>HYPERLINK("https://compensar-smartit.onbmc.com/smartit/app/#/workorder/AGGCEWKCE5ONWAT8Y51TT8Y51TTYB9","WO0000000309361")</f>
        <v>WO0000000309361</v>
      </c>
      <c r="C7" s="2" t="inlineStr">
        <is>
          <t>No</t>
        </is>
      </c>
      <c r="D7" s="2" t="inlineStr">
        <is>
          <t>TRASLADO DE EQUIPOS TECNOLOGICOS - ENTRE SEDE</t>
        </is>
      </c>
      <c r="E7" s="2" t="inlineStr">
        <is>
          <t>Asignado</t>
        </is>
      </c>
      <c r="F7" s="2" t="inlineStr">
        <is>
          <t>Extensión: 3214212561
Ubicación: PRIMERA DE MAYO PISO 1 TOMA MUESTRAS (13 CUBICULOS)
Frente: SALUD
Codigo del Centro de costo SAP: 0A1071090
Responsable del traslado: María Fernanda Lozano Ordóñez
Número de Contacto: 3214212561
Correo: MFLOZANOO@COMPENSARSALUD.COM
Cantidad: 1
Justificación del traslado: no se requiere en av 1 mayo pero si en calle 26
Detalles adicionales: Buen dia se solicita traslado de equipo Ubicado en av 1 mayo laboratorio clinico 1 piso - módulo 14 con numero ACTIVO 152800006302 en el 
Horario 6:00 - 13:00 preguntar por:  María Fernanda Lozano Ordóñez cel: 3214212561 y llevarlo a 
compensar calle 26 laboratorio clinico 1 er piso 
entregar a Alisson Dayan Duarte Buesaquillo cel: 3158653983</t>
        </is>
      </c>
      <c r="G7" s="2" t="inlineStr">
        <is>
          <t>SERVICIOS DE TECNOLOGIA-SOPORTE EQUIPOS DE COMPUTO-TRASLADO DE ELEMENTO TECNOLOGICO</t>
        </is>
      </c>
      <c r="H7" s="2" t="inlineStr">
        <is>
          <t>Web</t>
        </is>
      </c>
      <c r="I7" s="2" t="inlineStr">
        <is>
          <t>Media</t>
        </is>
      </c>
      <c r="J7" s="5">
        <v>46232.66111111111</v>
      </c>
      <c r="K7" s="2" t="inlineStr">
        <is>
          <t>ALEX STEVEN RODRIGUEZ CARDENAS</t>
        </is>
      </c>
      <c r="L7" s="2" t="inlineStr">
        <is>
          <t>SPT CABECERA 1 MAYO</t>
        </is>
      </c>
      <c r="M7" s="2" t="inlineStr">
        <is>
          <t>SERVICIOS DE TI</t>
        </is>
      </c>
      <c r="N7" s="2"/>
      <c r="O7" s="2" t="inlineStr">
        <is>
          <t>SALUD</t>
        </is>
      </c>
      <c r="P7" s="2"/>
      <c r="Q7" s="2" t="inlineStr">
        <is>
          <t>AGGCEWKCE5ONWAT8Y51TT8Y51TTYB9</t>
        </is>
      </c>
      <c r="R7" s="2" t="inlineStr">
        <is>
          <t>a) 0-4</t>
        </is>
      </c>
      <c r="S7" s="4"/>
      <c r="T7" s="2" t="inlineStr">
        <is>
          <t>SALUD</t>
        </is>
      </c>
      <c r="U7" s="2" t="inlineStr">
        <is>
          <t>-</t>
        </is>
      </c>
      <c r="V7" s="2" t="inlineStr">
        <is>
          <t>31/07/2026 15:52</t>
        </is>
      </c>
    </row>
    <row r="8">
      <c r="A8" s="2" t="inlineStr">
        <is>
          <t>🟢</t>
        </is>
      </c>
      <c r="B8" s="3" t="str">
        <f>HYPERLINK("https://compensar-smartit.onbmc.com/smartit/app/#/workorder/AGGCEWKCE5ONWAT8Y569T8Y569TY9O","WO0000000309362")</f>
        <v>WO0000000309362</v>
      </c>
      <c r="C8" s="2" t="inlineStr">
        <is>
          <t>No</t>
        </is>
      </c>
      <c r="D8" s="2" t="inlineStr">
        <is>
          <t>TRASLADO DE EQUIPOS TECNOLOGICOS - ENTRE SEDE</t>
        </is>
      </c>
      <c r="E8" s="2" t="inlineStr">
        <is>
          <t>Asignado</t>
        </is>
      </c>
      <c r="F8" s="2" t="inlineStr">
        <is>
          <t xml:space="preserve">Extensión: 3112189644 -3202807901
Ubicación: CLINICA DE LA MUJER
Frente: SALUD
Codigo del Centro de costo SAP: 2C1071080
Responsable del traslado: Paula Lizet Novoa Nieto
Número de Contacto: 3202807901
Correo: plnovoan@compensarsalud.com
Cantidad: 1
Justificación del traslado: Se solicita traslado computador activo No. 182500001724, de sede Clinica de la mujer sotano, a sede Clinica los cobos 5 piso laboratorio clinico, esto por necesidad del servicio.
Detalles adicionales: </t>
        </is>
      </c>
      <c r="G8" s="2" t="inlineStr">
        <is>
          <t>SERVICIOS DE TECNOLOGIA-SOPORTE EQUIPOS DE COMPUTO-TRASLADO DE ELEMENTO TECNOLOGICO</t>
        </is>
      </c>
      <c r="H8" s="2" t="inlineStr">
        <is>
          <t>Web</t>
        </is>
      </c>
      <c r="I8" s="2" t="inlineStr">
        <is>
          <t>Media</t>
        </is>
      </c>
      <c r="J8" s="5">
        <v>46232.663194444445</v>
      </c>
      <c r="K8" s="2" t="inlineStr">
        <is>
          <t>EDWIN ALEXIS PATIÑO TEJEDOR</t>
        </is>
      </c>
      <c r="L8" s="2" t="inlineStr">
        <is>
          <t>SPT ZONA NORTE</t>
        </is>
      </c>
      <c r="M8" s="2" t="inlineStr">
        <is>
          <t>SERVICIOS DE TI</t>
        </is>
      </c>
      <c r="N8" s="2"/>
      <c r="O8" s="2" t="inlineStr">
        <is>
          <t>SALUD</t>
        </is>
      </c>
      <c r="P8" s="2"/>
      <c r="Q8" s="2" t="inlineStr">
        <is>
          <t>AGGCEWKCE5ONWAT8Y569T8Y569TY9O</t>
        </is>
      </c>
      <c r="R8" s="2" t="inlineStr">
        <is>
          <t>a) 0-4</t>
        </is>
      </c>
      <c r="S8" s="4"/>
      <c r="T8" s="2" t="inlineStr">
        <is>
          <t>SALUD</t>
        </is>
      </c>
      <c r="U8" s="2" t="inlineStr">
        <is>
          <t>-</t>
        </is>
      </c>
      <c r="V8" s="2" t="inlineStr">
        <is>
          <t>31/07/2026 15:55</t>
        </is>
      </c>
    </row>
    <row r="9">
      <c r="A9" s="2" t="inlineStr">
        <is>
          <t>🟢</t>
        </is>
      </c>
      <c r="B9" s="3" t="str">
        <f>HYPERLINK("https://compensar-smartit.onbmc.com/smartit/app/#/workorder/AGGCEWKCE5ONWAT8Y57ST8Y57STYNX","WO0000000309363")</f>
        <v>WO0000000309363</v>
      </c>
      <c r="C9" s="2" t="inlineStr">
        <is>
          <t>No</t>
        </is>
      </c>
      <c r="D9" s="2" t="inlineStr">
        <is>
          <t>TRASLADO DE EQUIPOS TECNOLOGICOS - ENTRE SEDE</t>
        </is>
      </c>
      <c r="E9" s="2" t="inlineStr">
        <is>
          <t>Asignado</t>
        </is>
      </c>
      <c r="F9" s="2" t="inlineStr">
        <is>
          <t>Extensión: 3213414693
Ubicación: US C26 TORRE A PISO 7 ADMINISTRACION SAM
Frente: SALUD
Codigo del Centro de costo SAP: 0A1088005
Responsable del traslado: ANGELA VIVIANA CAMARGO PEDRAZA
Número de Contacto: 3213414693
Correo: AVCAMARGOP@COMPENSARSALUD.COM
Cantidad: 2
Justificación del traslado: Buenos días se solicita traslado de 2 quipos de computo con numero de activo 013442 esta ubicado en modulo 15, activo 008437 ubicado en modulo 21en la direccion kra 69 n 47-34 torre A piso 1  llevarlos a sede calle 26 n 66 a 48 piso 7 adminitracion
Detalles adicionales: Buenos días se solicita traslado de 2 quipos de computo con numero de activo 013442 esta ubicado en modulo 15, activo 008437 ubicado en modulo 21en la direccion kra 69 n 47-34 torre A piso 1, llevarlos a sede calle 26 n 66 a 48 piso 7 adminitracion</t>
        </is>
      </c>
      <c r="G9" s="2" t="inlineStr">
        <is>
          <t>SERVICIOS DE TECNOLOGIA-SOPORTE EQUIPOS DE COMPUTO-TRASLADO DE ELEMENTO TECNOLOGICO</t>
        </is>
      </c>
      <c r="H9" s="2" t="inlineStr">
        <is>
          <t>Web</t>
        </is>
      </c>
      <c r="I9" s="2" t="inlineStr">
        <is>
          <t>Media</t>
        </is>
      </c>
      <c r="J9" s="5">
        <v>46232.66388888889</v>
      </c>
      <c r="K9" s="2" t="inlineStr">
        <is>
          <t>CAMILO ANDRES GONZALEZ NARVAEZ</t>
        </is>
      </c>
      <c r="L9" s="2" t="inlineStr">
        <is>
          <t>SPT CABECERA CALLE 26</t>
        </is>
      </c>
      <c r="M9" s="2" t="inlineStr">
        <is>
          <t>SERVICIOS DE TI</t>
        </is>
      </c>
      <c r="N9" s="2"/>
      <c r="O9" s="2" t="inlineStr">
        <is>
          <t>SALUD</t>
        </is>
      </c>
      <c r="P9" s="2"/>
      <c r="Q9" s="2" t="inlineStr">
        <is>
          <t>AGGCEWKCE5ONWAT8Y57ST8Y57STYNX</t>
        </is>
      </c>
      <c r="R9" s="2" t="inlineStr">
        <is>
          <t>a) 0-4</t>
        </is>
      </c>
      <c r="S9" s="4"/>
      <c r="T9" s="2" t="inlineStr">
        <is>
          <t>SALUD</t>
        </is>
      </c>
      <c r="U9" s="2" t="inlineStr">
        <is>
          <t>-</t>
        </is>
      </c>
      <c r="V9" s="2" t="inlineStr">
        <is>
          <t>31/07/2026 15:56</t>
        </is>
      </c>
    </row>
    <row r="10">
      <c r="A10" s="2" t="inlineStr">
        <is>
          <t>🟢</t>
        </is>
      </c>
      <c r="B10" s="3" t="str">
        <f>HYPERLINK("https://compensar-smartit.onbmc.com/smartit/app/#/workorder/IDGGSWY0I24JCAT825LFT825LF2BZ1","WO0000000309664")</f>
        <v>WO0000000309664</v>
      </c>
      <c r="C10" s="2" t="inlineStr">
        <is>
          <t>No</t>
        </is>
      </c>
      <c r="D10" s="2" t="inlineStr">
        <is>
          <t>Instalación office</t>
        </is>
      </c>
      <c r="E10" s="2" t="inlineStr">
        <is>
          <t>Pendiente</t>
        </is>
      </c>
      <c r="F10" s="2" t="inlineStr">
        <is>
          <t>Usuario: Ana Pardo
Informa: Necesita instalar el paqeute de office en el equipo C025632 ya que hicieron el cambio y ahora no les permite abrir las apliaciones y son necesarias para hacer la gestion del ingreso a la bolera. 
📍 Ubicación: BOLERA CEF
ACTIVO: C025632
ACTIVO ANTIGUO: C176443
Tiempo: 18:40 
Impacto: 1</t>
        </is>
      </c>
      <c r="G10" s="2" t="inlineStr">
        <is>
          <t>SERVICIOS DE TECNOLOGIA-APLICACIONES DE NEGOCIO-PARAMETRIZACION APP</t>
        </is>
      </c>
      <c r="H10" s="2" t="inlineStr">
        <is>
          <t>Telefono</t>
        </is>
      </c>
      <c r="I10" s="2" t="inlineStr">
        <is>
          <t>Baja</t>
        </is>
      </c>
      <c r="J10" s="5">
        <v>46220.7875</v>
      </c>
      <c r="K10" s="2" t="inlineStr">
        <is>
          <t>DILAN SAMIR LOPEZ ARAUJO</t>
        </is>
      </c>
      <c r="L10" s="2" t="inlineStr">
        <is>
          <t>ZONA CENTRO</t>
        </is>
      </c>
      <c r="M10" s="2" t="inlineStr">
        <is>
          <t>SERVICIOS DE TI</t>
        </is>
      </c>
      <c r="N10" s="2"/>
      <c r="O10" s="2" t="inlineStr">
        <is>
          <t>CLIENTES</t>
        </is>
      </c>
      <c r="P10" s="2"/>
      <c r="Q10" s="2" t="inlineStr">
        <is>
          <t>IDGGSWY0I24JCAT825LFT825LF2BZ1</t>
        </is>
      </c>
      <c r="R10" s="2" t="inlineStr">
        <is>
          <t>c) 11-30</t>
        </is>
      </c>
      <c r="S10" s="4">
        <v>46233.708333333336</v>
      </c>
      <c r="T10" s="2"/>
      <c r="U10" s="2" t="inlineStr">
        <is>
          <t>-</t>
        </is>
      </c>
      <c r="V10" s="2" t="inlineStr">
        <is>
          <t>31/07/2026 08:05</t>
        </is>
      </c>
    </row>
    <row r="11">
      <c r="A11" s="2" t="inlineStr">
        <is>
          <t>🟢</t>
        </is>
      </c>
      <c r="B11" s="3" t="str">
        <f>HYPERLINK("https://compensar-smartit.onbmc.com/smartit/app/#/workorder/IDGGSWY0I24JCAT893UYT893UYO5KE","WO0000000310224")</f>
        <v>WO0000000310224</v>
      </c>
      <c r="C11" s="2" t="inlineStr">
        <is>
          <t>No</t>
        </is>
      </c>
      <c r="D11" s="2" t="inlineStr">
        <is>
          <t>garantia kit mouse y teclado</t>
        </is>
      </c>
      <c r="E11" s="2" t="inlineStr">
        <is>
          <t>Pendiente</t>
        </is>
      </c>
      <c r="F11" s="2" t="inlineStr">
        <is>
          <t>Amablemente se solicita garantía de mouse y teclado del equipo con placa C017794 de la sede CALLE 59 A SUR # 75 B - 75, COLEGIO LA ESTANCIA - SAN ISIDRO LABRADOR (IED), dado que presenta fallas en su funcionamiento</t>
        </is>
      </c>
      <c r="G11" s="2" t="inlineStr">
        <is>
          <t>SERVICIOS DE TECNOLOGIA-ACTIVOS FIJOS TECNOLOGIA-ADQUISICION PARTES SIN GARANTIA</t>
        </is>
      </c>
      <c r="H11" s="2" t="inlineStr">
        <is>
          <t>Web</t>
        </is>
      </c>
      <c r="I11" s="2" t="inlineStr">
        <is>
          <t>Baja</t>
        </is>
      </c>
      <c r="J11" s="5">
        <v>46224.540972222225</v>
      </c>
      <c r="K11" s="2" t="inlineStr">
        <is>
          <t>JEFFERSON ESCOBAR ALDANA</t>
        </is>
      </c>
      <c r="L11" s="2" t="inlineStr">
        <is>
          <t>ZONA SURORIENTE</t>
        </is>
      </c>
      <c r="M11" s="2" t="inlineStr">
        <is>
          <t>SERVICIOS DE TI</t>
        </is>
      </c>
      <c r="N11" s="2"/>
      <c r="O11" s="2" t="inlineStr">
        <is>
          <t>BIENESTAR Y DESARROLLO SOCIAL</t>
        </is>
      </c>
      <c r="P11" s="2"/>
      <c r="Q11" s="2" t="inlineStr">
        <is>
          <t>IDGGSWY0I24JCAT893UYT893UYO5KE</t>
        </is>
      </c>
      <c r="R11" s="2" t="inlineStr">
        <is>
          <t>b) 5-10</t>
        </is>
      </c>
      <c r="S11" s="4">
        <v>46233.666666666664</v>
      </c>
      <c r="T11" s="2"/>
      <c r="U11" s="2" t="inlineStr">
        <is>
          <t>-</t>
        </is>
      </c>
      <c r="V11" s="2" t="inlineStr">
        <is>
          <t>28/08/2026 16:30</t>
        </is>
      </c>
    </row>
    <row r="12">
      <c r="A12" s="2" t="inlineStr">
        <is>
          <t>🟢</t>
        </is>
      </c>
      <c r="B12" s="3" t="str">
        <f>HYPERLINK("https://compensar-smartit.onbmc.com/smartit/app/#/workorder/IDGIBMZTENYZ6AT898N3T898N3LBIE","WO0000000310343")</f>
        <v>WO0000000310343</v>
      </c>
      <c r="C12" s="2" t="inlineStr">
        <is>
          <t>No</t>
        </is>
      </c>
      <c r="D12" s="2" t="inlineStr">
        <is>
          <t>Alerta CrowdStrike: XDR Indicador de compromiso</t>
        </is>
      </c>
      <c r="E12" s="2" t="inlineStr">
        <is>
          <t>Pendiente</t>
        </is>
      </c>
      <c r="F12" s="2" t="inlineStr">
        <is>
          <t>Cordial saludo,
Se recibe alerta de CrowdStrike XDR Indicator of Compromise (IOC). La detección fue activada porque el proceso DeskRest.exe estableció o intentó establecer comunicación con una dirección IP asociada a un Custom Intelligence Indicator (Custom IOC) configurado en CrowdStrike. El IOC identificado corresponde a la IP 3.33.130.190 la cual tiene reportes como maliciosa
Usuario: CEDELRIOF 
Host: P008122  
IP: 10.80.240.5
Path: C:\Users\CEDELRIOF\AppData\Local\Programs\DeskRest\DeskRest.exe  
  Agradezco su apoyo generando un requerimiento a puesto de trabajo realizando las siguientes validaciones  
•	Validar que las Bases de datos del antivirus se encuentren actualizadas y que el antivirus se encuentre activo, validar agente, si es necesario reinstalar.  
•	Realizar análisis a profundidad de todas las unidades del disco duro con el antivirus.  
•	Validar archivos reportados con el antivirus, confirmando con el usuario si es posible su eliminación y en caso contrario compartir justificación.  
•	Eliminar el programa DeskRest.exe
•	Validar que las políticas de dominio se encuentren al día.  
•	Borrar todo lo relacionados a inicios de sesión en navegadores.  
•	Validar complementos y extensiones de los navegadores.  
•	Eliminar temporales y cache.  
•	Validar que las actualizaciones del Sistema Operativo y suit de office estén al día.  
•	Validar programas o servicios sospechosos o que no deberían estar en ejecución, por ejemplo, terminales en CMD que esté en ejecución pero que el usuario no la haya ejecutado, tomar evidencia.  
Adjuntar en la solicitud, capturas de pantalla donde se observe el resultado de cada una de las validaciones y garantizando que el equipo no presenta amenazas. En caso contrario se solicitará la re-apertura del caso.  
Gracias</t>
        </is>
      </c>
      <c r="G12" s="2" t="inlineStr">
        <is>
          <t>SERVICIOS DE TECNOLOGIA-SOPORTE EQUIPOS DE COMPUTO-ACOMPANAMIENTO</t>
        </is>
      </c>
      <c r="H12" s="2" t="inlineStr">
        <is>
          <t>Web</t>
        </is>
      </c>
      <c r="I12" s="2" t="inlineStr">
        <is>
          <t>Baja</t>
        </is>
      </c>
      <c r="J12" s="5">
        <v>46224.61597222222</v>
      </c>
      <c r="K12" s="2" t="inlineStr">
        <is>
          <t>JUAN CAMILO RINCON BLANCO</t>
        </is>
      </c>
      <c r="L12" s="2" t="inlineStr">
        <is>
          <t>SPT ZONA CENTRO</t>
        </is>
      </c>
      <c r="M12" s="2" t="inlineStr">
        <is>
          <t>SERVICIOS DE TI</t>
        </is>
      </c>
      <c r="N12" s="2"/>
      <c r="O12" s="2" t="inlineStr">
        <is>
          <t>SALUD</t>
        </is>
      </c>
      <c r="P12" s="2"/>
      <c r="Q12" s="2" t="inlineStr">
        <is>
          <t>IDGIBMZTENYZ6AT898N3T898N3LBIE</t>
        </is>
      </c>
      <c r="R12" s="2" t="inlineStr">
        <is>
          <t>b) 5-10</t>
        </is>
      </c>
      <c r="S12" s="4">
        <v>46234.75</v>
      </c>
      <c r="T12" s="2"/>
      <c r="U12" s="2" t="inlineStr">
        <is>
          <t>-</t>
        </is>
      </c>
      <c r="V12" s="2" t="inlineStr">
        <is>
          <t>27/07/2026 12:17</t>
        </is>
      </c>
    </row>
    <row r="13">
      <c r="A13" s="2" t="inlineStr">
        <is>
          <t>🟢</t>
        </is>
      </c>
      <c r="B13" s="3" t="str">
        <f>HYPERLINK("https://compensar-smartit.onbmc.com/smartit/app/#/workorder/IDGGSWY0I24JCAT8N4CMT8N4CMC8XE","WO0000000311622")</f>
        <v>WO0000000311622</v>
      </c>
      <c r="C13" s="2" t="inlineStr">
        <is>
          <t>No</t>
        </is>
      </c>
      <c r="D13" s="2" t="inlineStr">
        <is>
          <t>Configuración impresora RICOH</t>
        </is>
      </c>
      <c r="E13" s="2" t="inlineStr">
        <is>
          <t>Pendiente</t>
        </is>
      </c>
      <c r="F13" s="2" t="inlineStr">
        <is>
          <t>Usuario: CC 52260868 EXTINS ALCIRA OTTY PUENTES TORRES.
Informa: Configuración primera vez impresora RICOH serial: 5161z610673.
Ubicación: Clínica del bosque piso 11 consultorio  603.
Tiempo: 4:49 p. m. 23/07/2026.
Impacto: RICOH.
Evidencias: NA.</t>
        </is>
      </c>
      <c r="G13" s="2" t="inlineStr">
        <is>
          <t>SERVICIOS DE TECNOLOGIA-SERVICIOS DE IMPRESION/ESCANER-CONFIGURACION DE IMPRESORA/ESCANER</t>
        </is>
      </c>
      <c r="H13" s="2" t="inlineStr">
        <is>
          <t>Telefono</t>
        </is>
      </c>
      <c r="I13" s="2" t="inlineStr">
        <is>
          <t>Baja</t>
        </is>
      </c>
      <c r="J13" s="5">
        <v>46226.711805555555</v>
      </c>
      <c r="K13" s="2" t="inlineStr">
        <is>
          <t>EDWIN ALEXIS PATIÑO TEJEDOR</t>
        </is>
      </c>
      <c r="L13" s="2" t="inlineStr">
        <is>
          <t>SPT ZONA NORTE</t>
        </is>
      </c>
      <c r="M13" s="2" t="inlineStr">
        <is>
          <t>SERVICIOS DE TI</t>
        </is>
      </c>
      <c r="N13" s="2" t="inlineStr">
        <is>
          <t>IMPRESION</t>
        </is>
      </c>
      <c r="O13" s="2" t="inlineStr">
        <is>
          <t>SALUD</t>
        </is>
      </c>
      <c r="P13" s="2"/>
      <c r="Q13" s="2" t="inlineStr">
        <is>
          <t>IDGGSWY0I24JCAT8N4CMT8N4CMC8XE</t>
        </is>
      </c>
      <c r="R13" s="2" t="inlineStr">
        <is>
          <t>b) 5-10</t>
        </is>
      </c>
      <c r="S13" s="4">
        <v>46233.625</v>
      </c>
      <c r="T13" s="2"/>
      <c r="U13" s="2" t="inlineStr">
        <is>
          <t>-</t>
        </is>
      </c>
      <c r="V13" s="2" t="inlineStr">
        <is>
          <t>29/07/2026 11:24</t>
        </is>
      </c>
    </row>
    <row r="14">
      <c r="A14" s="2" t="inlineStr">
        <is>
          <t>🟢</t>
        </is>
      </c>
      <c r="B14" s="3" t="str">
        <f>HYPERLINK("https://compensar-smartit.onbmc.com/smartit/app/#/workorder/IDGGSWY0I24JCAT8OKV4T8OKV4MLW5","WO0000000311676")</f>
        <v>WO0000000311676</v>
      </c>
      <c r="C14" s="2" t="inlineStr">
        <is>
          <t>No</t>
        </is>
      </c>
      <c r="D14" s="2" t="inlineStr">
        <is>
          <t>Instalación de MOUSE ALAMBRICO activo C005764 sede ANOLAIMA - WO0000000303738</t>
        </is>
      </c>
      <c r="E14" s="2" t="inlineStr">
        <is>
          <t>Asignado</t>
        </is>
      </c>
      <c r="F14" s="2" t="inlineStr">
        <is>
          <t>Saludos	
Apreciado, reciba un cordial saludo, se aprobó por parte del ADMIN de activos el cambio, bodega enviará y gestionará la logística de despacho de la parte solicitada, por favor realizar entrega e instalación de: MOUSE ALAMBRICO En la sede ANOLAIMA PISO 1 RECEPCION, equipo DELL DELL OPTIPLEX 3060 Con placa C005764, usuaria/o responsable MONICA ALEJANDRA ZULETA BUSTOS. En atención al caso WO0000000303738.	
Se confirma despacho a los siguientes datos
MONICA ALEJANDRA ZULETA BUSTOS
3017471776
MAZULETAB@compensarsalud.com
ANOLAIMA - CUNDINAMARCA
CALLE 3 N 3 - 42 SEDE PISO 1	
Gracias por su amable atención.	
"Trabajamos para brindarle la mejor experiencia. Si requiere apoyo, comuníquese por:
Tel. (1) 428 0666: caja ext. 13900 Op. 2 / salud ext. 22444 Op. 2
Catálogo: https ://compensar-dwp.onbmc.com/dwp/app/#/catalog
Chatbot LAMIS en el catálogo o en Teams
Gracias por su amable atención.
Cordialmente"</t>
        </is>
      </c>
      <c r="G14" s="2" t="inlineStr">
        <is>
          <t>SERVICIOS DE TECNOLOGIA-ACTIVOS FIJOS TECNOLOGIA-ADQUISICION PARTES SIN GARANTIA</t>
        </is>
      </c>
      <c r="H14" s="2" t="inlineStr">
        <is>
          <t>Web</t>
        </is>
      </c>
      <c r="I14" s="2" t="inlineStr">
        <is>
          <t>Baja</t>
        </is>
      </c>
      <c r="J14" s="5">
        <v>46227.34652777778</v>
      </c>
      <c r="K14" s="2" t="inlineStr">
        <is>
          <t>JEISON ANDRES REYES ROMERO</t>
        </is>
      </c>
      <c r="L14" s="2" t="inlineStr">
        <is>
          <t>ZONA SURORIENTE</t>
        </is>
      </c>
      <c r="M14" s="2" t="inlineStr">
        <is>
          <t>SERVICIOS DE TI</t>
        </is>
      </c>
      <c r="N14" s="2"/>
      <c r="O14" s="2" t="inlineStr">
        <is>
          <t>SALUD</t>
        </is>
      </c>
      <c r="P14" s="2"/>
      <c r="Q14" s="2" t="inlineStr">
        <is>
          <t>IDGGSWY0I24JCAT8OKV4T8OKV4MLW5</t>
        </is>
      </c>
      <c r="R14" s="2" t="inlineStr">
        <is>
          <t>b) 5-10</t>
        </is>
      </c>
      <c r="S14" s="4"/>
      <c r="T14" s="2"/>
      <c r="U14" s="2" t="inlineStr">
        <is>
          <t>-</t>
        </is>
      </c>
      <c r="V14" s="2" t="inlineStr">
        <is>
          <t>25/08/2026 08:19</t>
        </is>
      </c>
    </row>
    <row r="15">
      <c r="A15" s="2" t="inlineStr">
        <is>
          <t>🟢</t>
        </is>
      </c>
      <c r="B15" s="3" t="str">
        <f>HYPERLINK("https://compensar-smartit.onbmc.com/smartit/app/#/workorder/IDGGSWY0I24JCAT8OLF4T8OLF4MXNZ","WO0000000311677")</f>
        <v>WO0000000311677</v>
      </c>
      <c r="C15" s="2" t="inlineStr">
        <is>
          <t>No</t>
        </is>
      </c>
      <c r="D15" s="2" t="inlineStr">
        <is>
          <t>Instalación de DISCO DURO M.2 activo C014765 sede CARRERA 69 - WO0000000306574</t>
        </is>
      </c>
      <c r="E15" s="2" t="inlineStr">
        <is>
          <t>Pendiente</t>
        </is>
      </c>
      <c r="F15" s="2" t="inlineStr">
        <is>
          <t>Saludos	
Apreciado, reciba un cordial saludo, se aprobó por parte del ADMIN de activos el cambio, bodega enviará y gestionará la logística de despacho de la parte solicitada, por favor realizar entrega e instalación de: DISCO DURO M.2 En la sede CARRERA 69 TORRE B PISO 4 PUESTO 21, equipo HEWLETT PACKARD HP PRODESK 400 G6 Con placa C014765, usuaria/o responsable LUZ MERY AVILA CASTANEDA. En atención al caso WO0000000306574.	
Gracias por su amable atención.	
"Trabajamos para brindarle la mejor experiencia. Si requiere apoyo, comuníquese por:
Tel. (1) 428 0666: caja ext. 13900 Op. 2 / salud ext. 22444 Op. 2
Catálogo: https ://compensar-dwp.onbmc.com/dwp/app/#/catalog
Chatbot LAMIS en el catálogo o en Teams
Gracias por su amable atención.
Cordialmente"</t>
        </is>
      </c>
      <c r="G15" s="2" t="inlineStr">
        <is>
          <t>SERVICIOS DE TECNOLOGIA-ASESORIA/ACOMPANAMIENTO/ACTIVIDADES-EJECUCION DE ACTIVIDADES EN SITIO</t>
        </is>
      </c>
      <c r="H15" s="2" t="inlineStr">
        <is>
          <t>Web</t>
        </is>
      </c>
      <c r="I15" s="2" t="inlineStr">
        <is>
          <t>Baja</t>
        </is>
      </c>
      <c r="J15" s="5">
        <v>46227.34930555556</v>
      </c>
      <c r="K15" s="2" t="inlineStr">
        <is>
          <t>IVAN FELIPE GARCIA MANRIQUE</t>
        </is>
      </c>
      <c r="L15" s="2" t="inlineStr">
        <is>
          <t>SPT CABECERA CARRERA 69</t>
        </is>
      </c>
      <c r="M15" s="2" t="inlineStr">
        <is>
          <t>SERVICIOS DE TI</t>
        </is>
      </c>
      <c r="N15" s="2"/>
      <c r="O15" s="2" t="inlineStr">
        <is>
          <t>SALUD</t>
        </is>
      </c>
      <c r="P15" s="2"/>
      <c r="Q15" s="2" t="inlineStr">
        <is>
          <t>IDGGSWY0I24JCAT8OLF4T8OLF4MXNZ</t>
        </is>
      </c>
      <c r="R15" s="2" t="inlineStr">
        <is>
          <t>b) 5-10</t>
        </is>
      </c>
      <c r="S15" s="4">
        <v>46233.708333333336</v>
      </c>
      <c r="T15" s="2"/>
      <c r="U15" s="2" t="inlineStr">
        <is>
          <t>-</t>
        </is>
      </c>
      <c r="V15" s="2" t="inlineStr">
        <is>
          <t>29/07/2026 08:23</t>
        </is>
      </c>
    </row>
    <row r="16">
      <c r="A16" s="2" t="inlineStr">
        <is>
          <t>🟠</t>
        </is>
      </c>
      <c r="B16" s="3" t="str">
        <f>HYPERLINK("https://compensar-smartit.onbmc.com/smartit/app/#/workorder/AGGDU4E1FTP5BAT8VZS7T8VZS7XIO5","WO0000000311925")</f>
        <v>WO0000000311925</v>
      </c>
      <c r="C16" s="2" t="inlineStr">
        <is>
          <t>No</t>
        </is>
      </c>
      <c r="D16" s="2" t="inlineStr">
        <is>
          <t>Seguridad Informática - Servicios VPN Salud</t>
        </is>
      </c>
      <c r="E16" s="2" t="inlineStr">
        <is>
          <t>En curso</t>
        </is>
      </c>
      <c r="F16" s="2" t="inlineStr">
        <is>
          <t>Ubicación para atención del Servicio:US C42 TORRE A PISO 11 SAM ADMINISTRACION
Teléfono:3007736216
Frente:SALUD
Título:SOLICITUD VPN
Tipo de Servicio:PERMISOS VPN REMOTA
Descripción:Buenas tardes se solicita VPN para conexion remota de las colaboradoras LAURA CRISTINA DIAZ CC1033731023 Y LINA MARIA OLIVEROS CC50947221
Adjunto:[AGGH043EBA7IUAT7J7R1T7J7R1ZN33]
Categoria Operacional 1:SERVICIOS DE TECNOLOGIA
Categoria Operacional 2:SEGURIDAD INFORMATICA
Organizacion del grupo:OPERACIONES E INFRAESTRUCTURA
Grupo:PLATAFORMA TI SALUD
</t>
        </is>
      </c>
      <c r="G16" s="2" t="inlineStr">
        <is>
          <t>SERVICIOS DE TECNOLOGIA-SEGURIDAD INFORMATICA-PERMISOS VPN REMOTA</t>
        </is>
      </c>
      <c r="H16" s="2" t="inlineStr">
        <is>
          <t>Web</t>
        </is>
      </c>
      <c r="I16" s="2" t="inlineStr">
        <is>
          <t>Baja</t>
        </is>
      </c>
      <c r="J16" s="5">
        <v>46231.347916666666</v>
      </c>
      <c r="K16" s="2" t="inlineStr">
        <is>
          <t>DAVID ESTEBAN DIAZ LLANOS</t>
        </is>
      </c>
      <c r="L16" s="2" t="inlineStr">
        <is>
          <t>SPT CABECERA CALLE 42</t>
        </is>
      </c>
      <c r="M16" s="2" t="inlineStr">
        <is>
          <t>SERVICIOS DE TI</t>
        </is>
      </c>
      <c r="N16" s="2"/>
      <c r="O16" s="2" t="inlineStr">
        <is>
          <t>SALUD</t>
        </is>
      </c>
      <c r="P16" s="2"/>
      <c r="Q16" s="2" t="inlineStr">
        <is>
          <t>AGGDU4E1FTP5BAT8VZS7T8VZS7XIO5</t>
        </is>
      </c>
      <c r="R16" s="2" t="inlineStr">
        <is>
          <t>a) 0-4</t>
        </is>
      </c>
      <c r="S16" s="4"/>
      <c r="T16" s="2" t="inlineStr">
        <is>
          <t>SALUD</t>
        </is>
      </c>
      <c r="U16" s="2" t="inlineStr">
        <is>
          <t>-</t>
        </is>
      </c>
      <c r="V16" s="2" t="inlineStr">
        <is>
          <t>31/07/2026 08:21</t>
        </is>
      </c>
    </row>
    <row r="17">
      <c r="A17" s="2" t="inlineStr">
        <is>
          <t>🟢</t>
        </is>
      </c>
      <c r="B17" s="3" t="str">
        <f>HYPERLINK("https://compensar-smartit.onbmc.com/smartit/app/#/workorder/AGGGSWY0I24JCAT8PFUET8PFUEPS4W","WO0000000312166")</f>
        <v>WO0000000312166</v>
      </c>
      <c r="C17" s="2" t="inlineStr">
        <is>
          <t>No</t>
        </is>
      </c>
      <c r="D17" s="2" t="inlineStr">
        <is>
          <t>Aplicación de Usuario Final</t>
        </is>
      </c>
      <c r="E17" s="2" t="inlineStr">
        <is>
          <t>Pendiente</t>
        </is>
      </c>
      <c r="F17" s="2" t="inlineStr">
        <is>
          <t>Ubicación para atención del Servicio: CSDE TORRE B PISO 4 GERENCIA RIESGO CORPORATIVO
Número de contacto para la atención del servicio: 1234567
Frente: CORPORATIVO
Titulo: Lentitud MAC C019828
Descripción: Cordial saludo, la maquina C019828 (MAC) de la colaboradora AMBOHORQUEZR fue recientemente formateada y se le instaló Global Protect y Falcon. Desde entonces ella ha evidenciado lentitud en la navegacion. Agradecemos su apoyo para validar si la VPN o algun factor instalado recientemente esta generando esta falla.
Tipo de Servicio: PARAMETRIZAR Y O CONFIGURAR APLICACION
Aplicación: SWEX232-PRISMA ACCESS
</t>
        </is>
      </c>
      <c r="G17" s="2" t="inlineStr">
        <is>
          <t>SERVICIOS DE TECNOLOGIA-GESTION DE APLICACIONES-PARAMETRIZAR Y O CONFIGURAR APLICACION</t>
        </is>
      </c>
      <c r="H17" s="2" t="inlineStr">
        <is>
          <t>Web</t>
        </is>
      </c>
      <c r="I17" s="2" t="inlineStr">
        <is>
          <t>Baja</t>
        </is>
      </c>
      <c r="J17" s="5">
        <v>46227.65902777778</v>
      </c>
      <c r="K17" s="2" t="inlineStr">
        <is>
          <t>ANDERSON JULIAN RATIVA RAMIREZ</t>
        </is>
      </c>
      <c r="L17" s="2" t="inlineStr">
        <is>
          <t>ZONA CENTRO</t>
        </is>
      </c>
      <c r="M17" s="2" t="inlineStr">
        <is>
          <t>SERVICIOS DE TI</t>
        </is>
      </c>
      <c r="N17" s="2"/>
      <c r="O17" s="2" t="inlineStr">
        <is>
          <t>CORPORATIVO</t>
        </is>
      </c>
      <c r="P17" s="2"/>
      <c r="Q17" s="2" t="inlineStr">
        <is>
          <t>AGGGSWY0I24JCAT8PFUET8PFUEPS4W</t>
        </is>
      </c>
      <c r="R17" s="2" t="inlineStr">
        <is>
          <t>b) 5-10</t>
        </is>
      </c>
      <c r="S17" s="4">
        <v>46238.75</v>
      </c>
      <c r="T17" s="2" t="inlineStr">
        <is>
          <t>CAJA DE COMPENSACION</t>
        </is>
      </c>
      <c r="U17" s="2" t="inlineStr">
        <is>
          <t>-</t>
        </is>
      </c>
      <c r="V17" s="2" t="inlineStr">
        <is>
          <t>29/07/2026 15:49</t>
        </is>
      </c>
    </row>
    <row r="18">
      <c r="A18" s="2" t="inlineStr">
        <is>
          <t>🟢</t>
        </is>
      </c>
      <c r="B18" s="3" t="str">
        <f>HYPERLINK("https://compensar-smartit.onbmc.com/smartit/app/#/workorder/IDGIBMZTENYZ6AT8PG0WT8PG0WRWVL","WO0000000312263")</f>
        <v>WO0000000312263</v>
      </c>
      <c r="C18" s="2" t="inlineStr">
        <is>
          <t>No</t>
        </is>
      </c>
      <c r="D18" s="2" t="inlineStr">
        <is>
          <t>Instalación de Analysis for Excel</t>
        </is>
      </c>
      <c r="E18" s="2" t="inlineStr">
        <is>
          <t>Pendiente</t>
        </is>
      </c>
      <c r="F18" s="2" t="inlineStr">
        <is>
          <t>Usuario: JHONNATAN ARLEY FERRO PUIN
Informa: El usuario se comunica con la Mesa de Servicio solicitando la instalación de Analysis for Excel en su equipo.
Ubicación: Movilidad
Tiempo: 15:58 24/07/2026
Impacto: Usuarios afectados 1
Placa de equipo: No especificada
Evidencias:
1. Se recibió la solicitud de instalación de Analysis for Excel.
2. Se validó la información suministrada por el usuario.
3. Se realizó la gestión correspondiente para la instalación del aplicativo.
4. Se confirmó la atención del requerimiento.
5. Se registró la cédula del usuario: 1069737540.
6. Se registró el teléfono de contacto: 3182011635.</t>
        </is>
      </c>
      <c r="G18" s="2" t="inlineStr">
        <is>
          <t>SERVICIOS DE TECNOLOGIA-ACOMPANAMIENTO-EJECUCION DE ACTIVIDADES REMOTAS</t>
        </is>
      </c>
      <c r="H18" s="2" t="inlineStr">
        <is>
          <t>Telefono</t>
        </is>
      </c>
      <c r="I18" s="2" t="inlineStr">
        <is>
          <t>Baja</t>
        </is>
      </c>
      <c r="J18" s="5">
        <v>46227.666666666664</v>
      </c>
      <c r="K18" s="2" t="inlineStr">
        <is>
          <t>KEVIN ALEXIS GARCIA GUARACA</t>
        </is>
      </c>
      <c r="L18" s="2" t="inlineStr">
        <is>
          <t>ZONA CENTRO</t>
        </is>
      </c>
      <c r="M18" s="2" t="inlineStr">
        <is>
          <t>SERVICIOS DE TI</t>
        </is>
      </c>
      <c r="N18" s="2"/>
      <c r="O18" s="2" t="inlineStr">
        <is>
          <t>BIENESTAR Y DESARROLLO SOCIAL</t>
        </is>
      </c>
      <c r="P18" s="2"/>
      <c r="Q18" s="2" t="inlineStr">
        <is>
          <t>IDGIBMZTENYZ6AT8PG0WT8PG0WRWVL</t>
        </is>
      </c>
      <c r="R18" s="2" t="inlineStr">
        <is>
          <t>b) 5-10</t>
        </is>
      </c>
      <c r="S18" s="4">
        <v>46233.75</v>
      </c>
      <c r="T18" s="2"/>
      <c r="U18" s="2" t="inlineStr">
        <is>
          <t>-</t>
        </is>
      </c>
      <c r="V18" s="2" t="inlineStr">
        <is>
          <t>29/07/2026 09:00</t>
        </is>
      </c>
    </row>
    <row r="19">
      <c r="A19" s="2" t="inlineStr">
        <is>
          <t>🟢</t>
        </is>
      </c>
      <c r="B19" s="3" t="str">
        <f>HYPERLINK("https://compensar-smartit.onbmc.com/smartit/app/#/workorder/AGGIBMZTENYZ6AT8SGFBT8SGFBNF06","WO0000000312469")</f>
        <v>WO0000000312469</v>
      </c>
      <c r="C19" s="2" t="inlineStr">
        <is>
          <t>No</t>
        </is>
      </c>
      <c r="D19" s="2" t="inlineStr">
        <is>
          <t>Aplicación de Usuario Final</t>
        </is>
      </c>
      <c r="E19" s="2" t="inlineStr">
        <is>
          <t>Pendiente</t>
        </is>
      </c>
      <c r="F19" s="2" t="inlineStr">
        <is>
          <t>Ubicación para atención del Servicio: CUR TORRE BOLOS PISO S1 TAQUILLAS BOLOS
Número de contacto para la atención del servicio: 3112140579
Frente: BIENESTAR Y DESARROLLO SOCIAL
Titulo: FALLA EQUIPO - MEMORIA O ACCESO A INTERNET
Descripción: Buen día 
Muy buenos días 
REPORTAMOS FALLA EN EQUIPO PARA INGRESO a  equipo en piso 1 CUR PAI , no permite acceso por memoria llena  bloqueo en equipos para acceso piso 1 - y fallas en acceso a internet 
Muchas gracias
Tipo de Servicio: PARAMETRIZAR Y O CONFIGURAR APLICACION
Aplicación: INTERNET
Adjunto: [AGGIBMZTENYZ6AT8SGEZT8SGEZNFIP]
</t>
        </is>
      </c>
      <c r="G19" s="2" t="inlineStr">
        <is>
          <t>SERVICIOS DE TECNOLOGIA-GESTION DE APLICACIONES-PARAMETRIZAR Y O CONFIGURAR APLICACION</t>
        </is>
      </c>
      <c r="H19" s="2" t="inlineStr">
        <is>
          <t>Web</t>
        </is>
      </c>
      <c r="I19" s="2" t="inlineStr">
        <is>
          <t>Baja</t>
        </is>
      </c>
      <c r="J19" s="5">
        <v>46229.28333333333</v>
      </c>
      <c r="K19" s="2" t="inlineStr">
        <is>
          <t>KEVIN ALEXIS GARCIA GUARACA</t>
        </is>
      </c>
      <c r="L19" s="2" t="inlineStr">
        <is>
          <t>SPT ZONA CENTRO</t>
        </is>
      </c>
      <c r="M19" s="2" t="inlineStr">
        <is>
          <t>SERVICIOS DE TI</t>
        </is>
      </c>
      <c r="N19" s="2"/>
      <c r="O19" s="2" t="inlineStr">
        <is>
          <t>BIENESTAR Y DESARROLLO SOCIAL</t>
        </is>
      </c>
      <c r="P19" s="2"/>
      <c r="Q19" s="2" t="inlineStr">
        <is>
          <t>AGGIBMZTENYZ6AT8SGFBT8SGFBNF06</t>
        </is>
      </c>
      <c r="R19" s="2" t="inlineStr">
        <is>
          <t>a) 0-4</t>
        </is>
      </c>
      <c r="S19" s="4">
        <v>46233.75</v>
      </c>
      <c r="T19" s="2" t="inlineStr">
        <is>
          <t>CAJA DE COMPENSACION</t>
        </is>
      </c>
      <c r="U19" s="2" t="inlineStr">
        <is>
          <t>-</t>
        </is>
      </c>
      <c r="V19" s="2" t="inlineStr">
        <is>
          <t>30/07/2026 08:00</t>
        </is>
      </c>
    </row>
    <row r="20">
      <c r="A20" s="2" t="inlineStr">
        <is>
          <t>🟢</t>
        </is>
      </c>
      <c r="B20" s="3" t="str">
        <f>HYPERLINK("https://compensar-smartit.onbmc.com/smartit/app/#/workorder/IDGIBMZTENYZ6AT8U2SMT8U2SM9PY7","WO0000000312680")</f>
        <v>WO0000000312680</v>
      </c>
      <c r="C20" s="2" t="inlineStr">
        <is>
          <t>No</t>
        </is>
      </c>
      <c r="D20" s="2" t="inlineStr">
        <is>
          <t>Solicitud de instalación de SOPRO</t>
        </is>
      </c>
      <c r="E20" s="2" t="inlineStr">
        <is>
          <t>Pendiente</t>
        </is>
      </c>
      <c r="F20" s="2" t="inlineStr">
        <is>
          <t>Usuario: Lady Karina Abril Jimenez
Teléfono: 3125927504
CC: 52522663
Informa: La usuaria se comunica con la Mesa de Servicio indicando que requiere la instalación del aplicativo SOPRO.
Ubicación: Movilidad
Tiempo: No especificado
Evidencias:
1. Se validó la solicitud de instalación del aplicativo SOPRO.
2. Se identificó que la instalación debe realizarse dentro de un escritorio virtual.
3. Se escaló el caso para la respectiva validación.</t>
        </is>
      </c>
      <c r="G20" s="2" t="inlineStr">
        <is>
          <t>SERVICIOS DE TECNOLOGIA-AMBIENTES NO PROD-INSTALACION APP</t>
        </is>
      </c>
      <c r="H20" s="2" t="inlineStr">
        <is>
          <t>Telefono</t>
        </is>
      </c>
      <c r="I20" s="2" t="inlineStr">
        <is>
          <t>Baja</t>
        </is>
      </c>
      <c r="J20" s="5">
        <v>46230.464583333334</v>
      </c>
      <c r="K20" s="2" t="inlineStr">
        <is>
          <t>JULIAN HUMBERTO MOLINA BERNAL</t>
        </is>
      </c>
      <c r="L20" s="2" t="inlineStr">
        <is>
          <t>SPT ESCRITORIO VIRTUAL</t>
        </is>
      </c>
      <c r="M20" s="2" t="inlineStr">
        <is>
          <t>SERVICIOS DE TI</t>
        </is>
      </c>
      <c r="N20" s="2"/>
      <c r="O20" s="2" t="inlineStr">
        <is>
          <t>SALUD</t>
        </is>
      </c>
      <c r="P20" s="2" t="inlineStr">
        <is>
          <t>SOLUCION DEFINITIVA</t>
        </is>
      </c>
      <c r="Q20" s="2" t="inlineStr">
        <is>
          <t>IDGIBMZTENYZ6AT8U2SMT8U2SM9PY7</t>
        </is>
      </c>
      <c r="R20" s="2" t="inlineStr">
        <is>
          <t>a) 0-4</t>
        </is>
      </c>
      <c r="S20" s="4">
        <v>46234.5</v>
      </c>
      <c r="T20" s="2"/>
      <c r="U20" s="2" t="inlineStr">
        <is>
          <t>-</t>
        </is>
      </c>
      <c r="V20" s="2" t="inlineStr">
        <is>
          <t>30/07/2026 11:09</t>
        </is>
      </c>
    </row>
    <row r="21">
      <c r="A21" s="2" t="inlineStr">
        <is>
          <t>🟢</t>
        </is>
      </c>
      <c r="B21" s="3" t="str">
        <f>HYPERLINK("https://compensar-smartit.onbmc.com/smartit/app/#/workorder/IDGEXM7CDZJ5AAT8UJV6T8UJV6Y6G3","WO0000000312704")</f>
        <v>WO0000000312704</v>
      </c>
      <c r="C21" s="2" t="inlineStr">
        <is>
          <t>No</t>
        </is>
      </c>
      <c r="D21" s="2" t="inlineStr">
        <is>
          <t>Ataque de fuerza bruta</t>
        </is>
      </c>
      <c r="E21" s="2" t="inlineStr">
        <is>
          <t>Pendiente</t>
        </is>
      </c>
      <c r="F21" s="2" t="inlineStr">
        <is>
          <t>Se recibe alerta por ataque de fuerza bruta desde la fuente Windows, donde el usuario “NVILLAMARINR” genera 6,03, intentos por minuto, peticiones hacia el host VMPLAUREL desde el equipo C006185
Agradezco su apoyo generando un requerimiento a puesto de trabajo realizando las siguientes validaciones 
Validar si el equipo se encuentra subido al dominio en caso de ser así, validar porque no se subió con la nomenclatura correcta (Según caso) 
•	Descartar el escenario de "credencial oculta obsoleta" por favor revisar el "administrador de credenciales de Windows" 
•	(OPCIONAL)Ejecutar el comando desde el CMD rundll32 keymgr.dll,KRShowKeyMgr para verificar usuarios y contraseñas almacenados 
•	Revisar el programador de tareas de Windows y visualizar dentro de las tareas programadas cuál coincide con la hora 27 de julio del 2026 a las 7:04 que corresponde a esta alerta 
•	Validar que las Bases de datos del antivirus se encuentren actualizadas y que el antivirus se encuentre activo, validar agente, si es necesario reinstalar. 
•	Realizar análisis a profundidad a todas las unidades del disco duro con el antivirus. 
•	Validar que las políticas de dominio se encuentren al día. 
•	Validar que solamente exista una sesión activa del usuario que hace uso de la máquina, en caso de existir otras por favor cerrarlas. 
•	Validar si hay algún usuario quemado en los equipos que este realizando solicitudes de logueo, estos usuarios pueden ser de excolaboradores. 
•	Borrar todo lo relacionados a inicios de sesión en navegadores. 
•	Revisar si se tiene una unidad de red mapeada de VMPLAUREL. 
•	Validar complementos y extensiones de los navegadores. 
•	Eliminar temporales y cache. 
•	Validar que las actualizaciones del Sistema Operativo y suit de office estén al día. 
•	Validar programas o servicios sospechosos o que no deberían estar en ejecución, por ejemplo, terminales en CMD que esté en ejecución pero que el usuario no la haya ejecutado, tomar evidencia. 
Adjuntar en la solicitud, capturas de pantalla donde se observe el resultado de cada una de las validaciones y garantizando que el equipo no presenta amenazas. En caso contrario se solicitará la re-apertura del caso. 
Gracias</t>
        </is>
      </c>
      <c r="G21" s="2" t="inlineStr">
        <is>
          <t>SERVICIOS DE TECNOLOGIA-SOPORTE EQUIPOS DE COMPUTO-ACOMPANAMIENTO</t>
        </is>
      </c>
      <c r="H21" s="2" t="inlineStr">
        <is>
          <t>Web</t>
        </is>
      </c>
      <c r="I21" s="2" t="inlineStr">
        <is>
          <t>Baja</t>
        </is>
      </c>
      <c r="J21" s="5">
        <v>46230.42083333333</v>
      </c>
      <c r="K21" s="2" t="inlineStr">
        <is>
          <t>LUIS HERNANDO BELTRAN CORRALES</t>
        </is>
      </c>
      <c r="L21" s="2" t="inlineStr">
        <is>
          <t>SPT REGIONALES</t>
        </is>
      </c>
      <c r="M21" s="2" t="inlineStr">
        <is>
          <t>SERVICIOS DE TI</t>
        </is>
      </c>
      <c r="N21" s="2"/>
      <c r="O21" s="2" t="inlineStr">
        <is>
          <t>SALUD</t>
        </is>
      </c>
      <c r="P21" s="2"/>
      <c r="Q21" s="2" t="inlineStr">
        <is>
          <t>IDGEXM7CDZJ5AAT8UJV6T8UJV6Y6G3</t>
        </is>
      </c>
      <c r="R21" s="2" t="inlineStr">
        <is>
          <t>a) 0-4</t>
        </is>
      </c>
      <c r="S21" s="4">
        <v>46238.583333333336</v>
      </c>
      <c r="T21" s="2"/>
      <c r="U21" s="2" t="inlineStr">
        <is>
          <t>-</t>
        </is>
      </c>
      <c r="V21" s="2" t="inlineStr">
        <is>
          <t>30/07/2026 10:06</t>
        </is>
      </c>
    </row>
    <row r="22">
      <c r="A22" s="2" t="inlineStr">
        <is>
          <t>🟢</t>
        </is>
      </c>
      <c r="B22" s="3" t="str">
        <f>HYPERLINK("https://compensar-smartit.onbmc.com/smartit/app/#/workorder/AGGEXM7CDZJ5AAT8U1J7T8U1J7AOHG","WO0000000312729")</f>
        <v>WO0000000312729</v>
      </c>
      <c r="C22" s="2" t="inlineStr">
        <is>
          <t>No</t>
        </is>
      </c>
      <c r="D22" s="2" t="inlineStr">
        <is>
          <t>Acompañamiento - Sala Calle 94</t>
        </is>
      </c>
      <c r="E22" s="2" t="inlineStr">
        <is>
          <t>Pendiente</t>
        </is>
      </c>
      <c r="F22" s="2" t="inlineStr">
        <is>
          <t>Ubicación para atención del Servicio: C94 TORRE A PISO 4 SALA DE INTERNET
Número de contacto para la atención del servicio: DIEGO LANCHEROS - 3013842182
Frente: BIENESTAR Y DESARROLLO SOCIAL
Titulo: Actualizacion tecnologica de equipos
Descripción: Buen día. En revisión con el equipo de tecnologia nos indican que los computadores de la sala de sistemas de la sede calle 94 ubicada en el piso 4 requieren de renovación tecnologica, por lo que se solicita lo siguiente:
Windows 11.
Microsoft Office 2016.
Power BI (versión de Microsoft Store).
Habilitación de los puertos USB, una vez se haya instalado el antivirus.
Debe quedar con la siguiente clave de acceso: COMPENSAR2026*
Tipo de Servicio: PARAMETRIZAR Y O CONFIGURAR APLICACION
Aplicación: CORREO ELECTRONICO
Adjunto: [AGGEXM7CDZJ5AAT8U1JGT8U1JGANKA]
</t>
        </is>
      </c>
      <c r="G22" s="2" t="inlineStr">
        <is>
          <t>SERVICIOS DE TECNOLOGIA-GESTION DE APLICACIONES-PARAMETRIZAR Y O CONFIGURAR APLICACION</t>
        </is>
      </c>
      <c r="H22" s="2" t="inlineStr">
        <is>
          <t>Web</t>
        </is>
      </c>
      <c r="I22" s="2" t="inlineStr">
        <is>
          <t>Baja</t>
        </is>
      </c>
      <c r="J22" s="5">
        <v>46230.44027777778</v>
      </c>
      <c r="K22" s="2" t="inlineStr">
        <is>
          <t>MARIA FERNANDA PEREIRA BUENO</t>
        </is>
      </c>
      <c r="L22" s="2" t="inlineStr">
        <is>
          <t>SPT CABECERA CALLE 94</t>
        </is>
      </c>
      <c r="M22" s="2" t="inlineStr">
        <is>
          <t>SERVICIOS DE TI</t>
        </is>
      </c>
      <c r="N22" s="2"/>
      <c r="O22" s="2" t="inlineStr">
        <is>
          <t>BIENESTAR Y DESARROLLO SOCIAL</t>
        </is>
      </c>
      <c r="P22" s="2"/>
      <c r="Q22" s="2" t="inlineStr">
        <is>
          <t>AGGEXM7CDZJ5AAT8U1J7T8U1J7AOHG</t>
        </is>
      </c>
      <c r="R22" s="2" t="inlineStr">
        <is>
          <t>a) 0-4</t>
        </is>
      </c>
      <c r="S22" s="4">
        <v>46234.708333333336</v>
      </c>
      <c r="T22" s="2" t="inlineStr">
        <is>
          <t>CAJA DE COMPENSACION</t>
        </is>
      </c>
      <c r="U22" s="2" t="inlineStr">
        <is>
          <t>-</t>
        </is>
      </c>
      <c r="V22" s="2" t="inlineStr">
        <is>
          <t>30/07/2026 10:34</t>
        </is>
      </c>
    </row>
    <row r="23">
      <c r="A23" s="2" t="inlineStr">
        <is>
          <t>🟠</t>
        </is>
      </c>
      <c r="B23" s="3" t="str">
        <f>HYPERLINK("https://compensar-smartit.onbmc.com/smartit/app/#/workorder/AGGIBMZTENYZ6AT8U67DT8U67DPXS8","WO0000000312820")</f>
        <v>WO0000000312820</v>
      </c>
      <c r="C23" s="2" t="inlineStr">
        <is>
          <t>No</t>
        </is>
      </c>
      <c r="D23" s="2" t="inlineStr">
        <is>
          <t>Asesoría, Acompañamiento, Actividades en Sitio y Entrega de Informes</t>
        </is>
      </c>
      <c r="E23" s="2" t="inlineStr">
        <is>
          <t>En curso</t>
        </is>
      </c>
      <c r="F23" s="2" t="inlineStr">
        <is>
          <t>Ubicación para atención del Servicio: CENTRO ESPECIALIZADO CEP BARRANQUILLA
Número de contacto para la atención del servicio: 3046630023
Frente: SALUD
Titulo: Pruebas de conexión equipos de Microbiologia
Descripción: Buen día, se solicita un apoyo por parte de soporte en sitio para el proximo jueves 30 de julio 9 am en sede CEP Barranquilla en conjunto con el proveedor Biomerieux
Ubicacion: CEP Barranquilla
Fecha - Hora: jueves 30/07/2026 9:00 am
Contacto en sitio: YANIBIS GOMEZ MARTINEZ 3006659048 - Conectarse a sesion de Teams
Sesion de Teams 30/07/2026 9:00 am:
https://teams.microsoft.com/meet/257630448722955?p=kLukr4RKLFnZYHJF57
Tipo de Servicio: ACOMPAÑAMIENTO / EJECUCION DE ACTIVIDAD EN SITIO
Grupo Requerido: ASEGURADORES TECNOLOGICOS
Fecha requerida para la actividad: 2026-07-30
Duración de la actividad en minutos: 9 am a 12 pm
</t>
        </is>
      </c>
      <c r="G23" s="2" t="inlineStr">
        <is>
          <t>SERVICIOS DE TECNOLOGIA-ASESORIA/ACOMPANAMIENTO/ACTIVIDADES-ACOMPAÑAMIENTO / EJECUCION DE ACTIVIDAD EN SITIO</t>
        </is>
      </c>
      <c r="H23" s="2" t="inlineStr">
        <is>
          <t>Web</t>
        </is>
      </c>
      <c r="I23" s="2" t="inlineStr">
        <is>
          <t>Baja</t>
        </is>
      </c>
      <c r="J23" s="5">
        <v>46230.51875</v>
      </c>
      <c r="K23" s="2" t="inlineStr">
        <is>
          <t>EDWIN ALEXIS PATIÑO TEJEDOR</t>
        </is>
      </c>
      <c r="L23" s="2" t="inlineStr">
        <is>
          <t>SPT REGIONALES</t>
        </is>
      </c>
      <c r="M23" s="2" t="inlineStr">
        <is>
          <t>SERVICIOS DE TI</t>
        </is>
      </c>
      <c r="N23" s="2"/>
      <c r="O23" s="2" t="inlineStr">
        <is>
          <t>SALUD</t>
        </is>
      </c>
      <c r="P23" s="2"/>
      <c r="Q23" s="2" t="inlineStr">
        <is>
          <t>AGGIBMZTENYZ6AT8U67DT8U67DPXS8</t>
        </is>
      </c>
      <c r="R23" s="2" t="inlineStr">
        <is>
          <t>a) 0-4</t>
        </is>
      </c>
      <c r="S23" s="4"/>
      <c r="T23" s="2" t="inlineStr">
        <is>
          <t>CAJA DE COMPENSACION</t>
        </is>
      </c>
      <c r="U23" s="2" t="inlineStr">
        <is>
          <t>-</t>
        </is>
      </c>
      <c r="V23" s="2" t="inlineStr">
        <is>
          <t>30/07/2026 12:27</t>
        </is>
      </c>
    </row>
    <row r="24">
      <c r="A24" s="2" t="inlineStr">
        <is>
          <t>🟢</t>
        </is>
      </c>
      <c r="B24" s="3" t="str">
        <f>HYPERLINK("https://compensar-smartit.onbmc.com/smartit/app/#/workorder/IDGEXM7CDZJ5AAT8U7LVT8U7LV0PTN","WO0000000312910")</f>
        <v>WO0000000312910</v>
      </c>
      <c r="C24" s="2" t="inlineStr">
        <is>
          <t>No</t>
        </is>
      </c>
      <c r="D24" s="2" t="inlineStr">
        <is>
          <t>Envio/instalación CARGADOR A.C. LENOVO THINKPAD T470S activo 152800003099</t>
        </is>
      </c>
      <c r="E24" s="2" t="inlineStr">
        <is>
          <t>En curso</t>
        </is>
      </c>
      <c r="F24" s="2" t="inlineStr">
        <is>
          <t>Usuario:Luz Dayana Chavez Rodriguez
Informa: El usuario   se comunica indicando que presenta falla novedad con el cargador del equipo , se daño y no funciona serial equipo 152800003099
Ubicación:sede bloque h piso 2 
Tiempo:7:38 a. m. 17/07/2026
Impacto: Usuarios afectados:1</t>
        </is>
      </c>
      <c r="G24" s="2" t="inlineStr">
        <is>
          <t>SERVICIOS DE TECNOLOGIA-ACTIVOS FIJOS TECNOLOGIA-ADQUISICION PARTES SIN GARANTIA</t>
        </is>
      </c>
      <c r="H24" s="2" t="inlineStr">
        <is>
          <t>Web</t>
        </is>
      </c>
      <c r="I24" s="2" t="inlineStr">
        <is>
          <t>Baja</t>
        </is>
      </c>
      <c r="J24" s="5">
        <v>46230.53680555556</v>
      </c>
      <c r="K24" s="2" t="inlineStr">
        <is>
          <t>GERLYN RENTERIA OROZCO</t>
        </is>
      </c>
      <c r="L24" s="2" t="inlineStr">
        <is>
          <t>ZONA CENTRO</t>
        </is>
      </c>
      <c r="M24" s="2" t="inlineStr">
        <is>
          <t>SERVICIOS DE TI</t>
        </is>
      </c>
      <c r="N24" s="2"/>
      <c r="O24" s="2" t="inlineStr">
        <is>
          <t>BIENESTAR Y DESARROLLO SOCIAL</t>
        </is>
      </c>
      <c r="P24" s="2"/>
      <c r="Q24" s="2" t="inlineStr">
        <is>
          <t>IDGEXM7CDZJ5AAT8U7LVT8U7LV0PTN</t>
        </is>
      </c>
      <c r="R24" s="2" t="inlineStr">
        <is>
          <t>a) 0-4</t>
        </is>
      </c>
      <c r="S24" s="4"/>
      <c r="T24" s="2"/>
      <c r="U24" s="2" t="inlineStr">
        <is>
          <t>-</t>
        </is>
      </c>
      <c r="V24" s="2" t="inlineStr">
        <is>
          <t>26/08/2026 12:53</t>
        </is>
      </c>
    </row>
    <row r="25">
      <c r="A25" s="2" t="inlineStr">
        <is>
          <t>🟢</t>
        </is>
      </c>
      <c r="B25" s="3" t="str">
        <f>HYPERLINK("https://compensar-smartit.onbmc.com/smartit/app/#/workorder/IDGEXM7CDZJ5AAT8UQ9VT8UQ9VMH9A","WO0000000312973")</f>
        <v>WO0000000312973</v>
      </c>
      <c r="C25" s="2" t="inlineStr">
        <is>
          <t>No</t>
        </is>
      </c>
      <c r="D25" s="2" t="inlineStr">
        <is>
          <t>Envio/instalación TECLADO PORTATIL SIN COVER HP ELITEBOOK 845 G7 activo 152800009506</t>
        </is>
      </c>
      <c r="E25" s="2" t="inlineStr">
        <is>
          <t>Asignado</t>
        </is>
      </c>
      <c r="F25" s="2" t="inlineStr">
        <is>
          <t>Usuario: Hortua, Andrea
CC: 1023927195
Tel: 3193779355
Informa: Fallo teclado se estan cayendo las teclas
Ubicación: desde casa
Tiempo: 12:58 p. m. 17/07/2026
Impacto: 1
Evidencias: activo P009506</t>
        </is>
      </c>
      <c r="G25" s="2" t="inlineStr">
        <is>
          <t>SERVICIOS DE TECNOLOGIA-ACTIVOS FIJOS TECNOLOGIA-ADQUISICION PARTES SIN GARANTIA</t>
        </is>
      </c>
      <c r="H25" s="2" t="inlineStr">
        <is>
          <t>Web</t>
        </is>
      </c>
      <c r="I25" s="2" t="inlineStr">
        <is>
          <t>Baja</t>
        </is>
      </c>
      <c r="J25" s="5">
        <v>46230.67083333333</v>
      </c>
      <c r="K25" s="2" t="inlineStr">
        <is>
          <t>KEVIN ALEXIS GARCIA GUARACA</t>
        </is>
      </c>
      <c r="L25" s="2" t="inlineStr">
        <is>
          <t>ZONA CENTRO</t>
        </is>
      </c>
      <c r="M25" s="2" t="inlineStr">
        <is>
          <t>SERVICIOS DE TI</t>
        </is>
      </c>
      <c r="N25" s="2"/>
      <c r="O25" s="2" t="inlineStr">
        <is>
          <t>BIENESTAR Y DESARROLLO SOCIAL</t>
        </is>
      </c>
      <c r="P25" s="2"/>
      <c r="Q25" s="2" t="inlineStr">
        <is>
          <t>IDGEXM7CDZJ5AAT8UQ9VT8UQ9VMH9A</t>
        </is>
      </c>
      <c r="R25" s="2" t="inlineStr">
        <is>
          <t>a) 0-4</t>
        </is>
      </c>
      <c r="S25" s="4"/>
      <c r="T25" s="2"/>
      <c r="U25" s="2" t="inlineStr">
        <is>
          <t>-</t>
        </is>
      </c>
      <c r="V25" s="2" t="inlineStr">
        <is>
          <t>26/08/2026 16:06</t>
        </is>
      </c>
    </row>
    <row r="26">
      <c r="A26" s="2" t="inlineStr">
        <is>
          <t>🟢</t>
        </is>
      </c>
      <c r="B26" s="3" t="str">
        <f>HYPERLINK("https://compensar-smartit.onbmc.com/smartit/app/#/workorder/IDGIBMZTENYZ6AT8W7SJT8W7SJ4X1P","WO0000000313458")</f>
        <v>WO0000000313458</v>
      </c>
      <c r="C26" s="2" t="inlineStr">
        <is>
          <t>No</t>
        </is>
      </c>
      <c r="D26" s="2" t="inlineStr">
        <is>
          <t>Instalación de RAM activo C006294 sede CARRERA 69 - WO0000000311857</t>
        </is>
      </c>
      <c r="E26" s="2" t="inlineStr">
        <is>
          <t>En curso</t>
        </is>
      </c>
      <c r="F26" s="2" t="inlineStr">
        <is>
          <t>Saludos	
Apreciado, reciba un cordial saludo, se aprobó por parte del ADMIN de activos el cambio, bodega enviará y gestionará la logística de despacho de la parte solicitada, por favor realizar entrega e instalación de: RAM En la sede CARRERA 69 TORRE B PISO 4 PUESTO 49, equipo DELL DELL OPTIPLEX 3060 Con placa C006294, usuaria/o responsable LUIS CARLOS PRADA SOCHA. En atención al caso WO0000000311857.	
Gracias por su amable atención.	
"Trabajamos para brindarle la mejor experiencia. Si requiere apoyo, comuníquese por:
Tel. (1) 428 0666: caja ext. 13900 Op. 2 / salud ext. 22444 Op. 2
Catálogo: https ://compensar-dwp.onbmc.com/dwp/app/#/catalog
Chatbot LAMIS en el catálogo o en Teams
Gracias por su amable atención.
Cordialmente"</t>
        </is>
      </c>
      <c r="G26" s="2" t="inlineStr">
        <is>
          <t>SERVICIOS DE TECNOLOGIA-ASESORIA/ACOMPANAMIENTO/ACTIVIDADES-EJECUCION DE ACTIVIDADES EN SITIO</t>
        </is>
      </c>
      <c r="H26" s="2" t="inlineStr">
        <is>
          <t>Web</t>
        </is>
      </c>
      <c r="I26" s="2" t="inlineStr">
        <is>
          <t>Baja</t>
        </is>
      </c>
      <c r="J26" s="5">
        <v>46231.61875</v>
      </c>
      <c r="K26" s="2" t="inlineStr">
        <is>
          <t>JUAN CAMILO RINCON BLANCO</t>
        </is>
      </c>
      <c r="L26" s="2" t="inlineStr">
        <is>
          <t>SPT CABECERA CARRERA 69</t>
        </is>
      </c>
      <c r="M26" s="2" t="inlineStr">
        <is>
          <t>SERVICIOS DE TI</t>
        </is>
      </c>
      <c r="N26" s="2"/>
      <c r="O26" s="2" t="inlineStr">
        <is>
          <t>SALUD</t>
        </is>
      </c>
      <c r="P26" s="2"/>
      <c r="Q26" s="2" t="inlineStr">
        <is>
          <t>IDGIBMZTENYZ6AT8W7SJT8W7SJ4X1P</t>
        </is>
      </c>
      <c r="R26" s="2" t="inlineStr">
        <is>
          <t>a) 0-4</t>
        </is>
      </c>
      <c r="S26" s="4"/>
      <c r="T26" s="2"/>
      <c r="U26" s="2" t="inlineStr">
        <is>
          <t>-</t>
        </is>
      </c>
      <c r="V26" s="2" t="inlineStr">
        <is>
          <t>31/07/2026 14:51</t>
        </is>
      </c>
    </row>
    <row r="27">
      <c r="A27" s="2" t="inlineStr">
        <is>
          <t>🟢</t>
        </is>
      </c>
      <c r="B27" s="3" t="str">
        <f>HYPERLINK("https://compensar-smartit.onbmc.com/smartit/app/#/workorder/IDGEXM7CDZJ5AAT8W65AT8W65AQSF0","WO0000000313511")</f>
        <v>WO0000000313511</v>
      </c>
      <c r="C27" s="2" t="inlineStr">
        <is>
          <t>No</t>
        </is>
      </c>
      <c r="D27" s="2" t="inlineStr">
        <is>
          <t>Solicitud de guaya de seguridad para equipo</t>
        </is>
      </c>
      <c r="E27" s="2" t="inlineStr">
        <is>
          <t>En curso</t>
        </is>
      </c>
      <c r="F27" s="2" t="inlineStr">
        <is>
          <t>Usuario: William Ernesto Barrios
Teléfono: 3125002330
CC: 80235090
Informa: El usuario se comunica con la Mesa de Servicio solicitando una guaya de seguridad para su equipo.
Ubicación: Autopista Sur piso 2, oficina de gestor
Tiempo: 6:38 a. m. 28/07/2026
Impacto: No especificado
Placa de equipo: No especificada
Evidencias:
1. Se recibió la solicitud de guaya de seguridad para el equipo.
2. Se validó la información suministrada por el usuario.
3. Se escaló el caso para la respectiva validación.</t>
        </is>
      </c>
      <c r="G27" s="2" t="inlineStr">
        <is>
          <t>SERVICIOS DE TECNOLOGIA-ACOMPANAMIENTO-EJECUCION DE ACTIVIDADES EN SITIO</t>
        </is>
      </c>
      <c r="H27" s="2" t="inlineStr">
        <is>
          <t>Telefono</t>
        </is>
      </c>
      <c r="I27" s="2" t="inlineStr">
        <is>
          <t>Baja</t>
        </is>
      </c>
      <c r="J27" s="5">
        <v>46231.597916666666</v>
      </c>
      <c r="K27" s="2" t="inlineStr">
        <is>
          <t>JEFFERSON ESCOBAR ALDANA</t>
        </is>
      </c>
      <c r="L27" s="2" t="inlineStr">
        <is>
          <t>SPT ZONA SURORIENTE</t>
        </is>
      </c>
      <c r="M27" s="2" t="inlineStr">
        <is>
          <t>SERVICIOS DE TI</t>
        </is>
      </c>
      <c r="N27" s="2"/>
      <c r="O27" s="2" t="inlineStr">
        <is>
          <t>SALUD</t>
        </is>
      </c>
      <c r="P27" s="2" t="inlineStr">
        <is>
          <t>SOLUCION DEFINITIVA</t>
        </is>
      </c>
      <c r="Q27" s="2" t="inlineStr">
        <is>
          <t>IDGEXM7CDZJ5AAT8W65AT8W65AQSF0</t>
        </is>
      </c>
      <c r="R27" s="2" t="inlineStr">
        <is>
          <t>a) 0-4</t>
        </is>
      </c>
      <c r="S27" s="4"/>
      <c r="T27" s="2"/>
      <c r="U27" s="2" t="inlineStr">
        <is>
          <t>-</t>
        </is>
      </c>
      <c r="V27" s="2" t="inlineStr">
        <is>
          <t>31/07/2026 14:21</t>
        </is>
      </c>
    </row>
    <row r="28">
      <c r="A28" s="2" t="inlineStr">
        <is>
          <t>🟢</t>
        </is>
      </c>
      <c r="B28" s="3" t="str">
        <f>HYPERLINK("https://compensar-smartit.onbmc.com/smartit/app/#/workorder/IDGEXM7CDZJ5AAT8W8EFT8W8EFSZAI","WO0000000313521")</f>
        <v>WO0000000313521</v>
      </c>
      <c r="C28" s="2" t="inlineStr">
        <is>
          <t>No</t>
        </is>
      </c>
      <c r="D28" s="2" t="inlineStr">
        <is>
          <t>Instalación de MOUSE ALAMBRICO activo C006506 sede AUTOPISTA SUR - WO0000000312974</t>
        </is>
      </c>
      <c r="E28" s="2" t="inlineStr">
        <is>
          <t>En curso</t>
        </is>
      </c>
      <c r="F28" s="2" t="inlineStr">
        <is>
          <t>Saludos	
Apreciado, reciba un cordial saludo, se aprobó por parte del ADMIN de activos el cambio, bodega enviará y gestionará la logística de despacho de la parte solicitada, por favor realizar entrega e instalación de: MOUSE ALAMBRICO En la sede AUTOPISTA SUR CALLE 42 SUR 88C - 11, equipo DELL DELL OPTIPLEX 3060 Con placa C006506, usuaria/o responsable FRANK EDDY VILLEGAS RODRIGUEZ. En atención al caso WO0000000312974.	
Gracias por su amable atención.	
"Trabajamos para brindarle la mejor experiencia. Si requiere apoyo, comuníquese por:
Tel. (1) 428 0666: caja ext. 13900 Op. 2 / salud ext. 22444 Op. 2
Catálogo: https ://compensar-dwp.onbmc.com/dwp/app/#/catalog
Chatbot LAMIS en el catálogo o en Teams
Gracias por su amable atención.
Cordialmente"</t>
        </is>
      </c>
      <c r="G28" s="2" t="inlineStr">
        <is>
          <t>SERVICIOS DE TECNOLOGIA-ASESORIA/ACOMPANAMIENTO/ACTIVIDADES-EJECUCION DE ACTIVIDADES EN SITIO</t>
        </is>
      </c>
      <c r="H28" s="2" t="inlineStr">
        <is>
          <t>Web</t>
        </is>
      </c>
      <c r="I28" s="2" t="inlineStr">
        <is>
          <t>Baja</t>
        </is>
      </c>
      <c r="J28" s="5">
        <v>46231.623611111114</v>
      </c>
      <c r="K28" s="2" t="inlineStr">
        <is>
          <t>JEFFERSON ESCOBAR ALDANA</t>
        </is>
      </c>
      <c r="L28" s="2" t="inlineStr">
        <is>
          <t>SPT ZONA SURORIENTE</t>
        </is>
      </c>
      <c r="M28" s="2" t="inlineStr">
        <is>
          <t>SERVICIOS DE TI</t>
        </is>
      </c>
      <c r="N28" s="2"/>
      <c r="O28" s="2" t="inlineStr">
        <is>
          <t>SALUD</t>
        </is>
      </c>
      <c r="P28" s="2"/>
      <c r="Q28" s="2" t="inlineStr">
        <is>
          <t>IDGEXM7CDZJ5AAT8W8EFT8W8EFSZAI</t>
        </is>
      </c>
      <c r="R28" s="2" t="inlineStr">
        <is>
          <t>a) 0-4</t>
        </is>
      </c>
      <c r="S28" s="4"/>
      <c r="T28" s="2"/>
      <c r="U28" s="2" t="inlineStr">
        <is>
          <t>-</t>
        </is>
      </c>
      <c r="V28" s="2" t="inlineStr">
        <is>
          <t>31/07/2026 14:58</t>
        </is>
      </c>
    </row>
    <row r="29">
      <c r="A29" s="2" t="inlineStr">
        <is>
          <t>🟢</t>
        </is>
      </c>
      <c r="B29" s="3" t="str">
        <f>HYPERLINK("https://compensar-smartit.onbmc.com/smartit/app/#/workorder/IDGEXM7CDZJ5AAT8WMS4T8WMS4ZFUN","WO0000000313565")</f>
        <v>WO0000000313565</v>
      </c>
      <c r="C29" s="2" t="inlineStr">
        <is>
          <t>No</t>
        </is>
      </c>
      <c r="D29" s="2" t="inlineStr">
        <is>
          <t>Solicita revision de MOUSE no cumple con su funcion</t>
        </is>
      </c>
      <c r="E29" s="2" t="inlineStr">
        <is>
          <t>En curso</t>
        </is>
      </c>
      <c r="F29" s="2" t="inlineStr">
        <is>
          <t>Usuario:JULIE MARCELA LOPEZ VARGAS
Informa:Solicita revisión de MOUSE no cumple con su función
Ubicación: chia salud marque
Tiempo:28-07-2026  4:40pm
Impacto: 1         
Evidencias: NO</t>
        </is>
      </c>
      <c r="G29" s="2" t="inlineStr">
        <is>
          <t>SERVICIOS DE TECNOLOGIA-ACOMPANAMIENTO-EJECUCION DE ACTIVIDADES EN SITIO</t>
        </is>
      </c>
      <c r="H29" s="2" t="inlineStr">
        <is>
          <t>Telefono</t>
        </is>
      </c>
      <c r="I29" s="2" t="inlineStr">
        <is>
          <t>Baja</t>
        </is>
      </c>
      <c r="J29" s="5">
        <v>46231.694444444445</v>
      </c>
      <c r="K29" s="2" t="inlineStr">
        <is>
          <t>MICHAEL STEVEN FRAILE GOMEZ</t>
        </is>
      </c>
      <c r="L29" s="2" t="inlineStr">
        <is>
          <t>SPT ZONA NORTE</t>
        </is>
      </c>
      <c r="M29" s="2" t="inlineStr">
        <is>
          <t>SERVICIOS DE TI</t>
        </is>
      </c>
      <c r="N29" s="2"/>
      <c r="O29" s="2" t="inlineStr">
        <is>
          <t>SALUD</t>
        </is>
      </c>
      <c r="P29" s="2"/>
      <c r="Q29" s="2" t="inlineStr">
        <is>
          <t>IDGEXM7CDZJ5AAT8WMS4T8WMS4ZFUN</t>
        </is>
      </c>
      <c r="R29" s="2" t="inlineStr">
        <is>
          <t>a) 0-4</t>
        </is>
      </c>
      <c r="S29" s="4"/>
      <c r="T29" s="2"/>
      <c r="U29" s="2" t="inlineStr">
        <is>
          <t>-</t>
        </is>
      </c>
      <c r="V29" s="2" t="inlineStr">
        <is>
          <t>31/07/2026 16:40</t>
        </is>
      </c>
    </row>
    <row r="30">
      <c r="A30" s="2" t="inlineStr">
        <is>
          <t>🟢</t>
        </is>
      </c>
      <c r="B30" s="3" t="str">
        <f>HYPERLINK("https://compensar-smartit.onbmc.com/smartit/app/#/workorder/AGGEXM7CDZJ5AAT8WNPNT8WNPNAJU5","WO0000000313572")</f>
        <v>WO0000000313572</v>
      </c>
      <c r="C30" s="2" t="inlineStr">
        <is>
          <t>No</t>
        </is>
      </c>
      <c r="D30" s="2" t="inlineStr">
        <is>
          <t>Aplicación de Usuario Final</t>
        </is>
      </c>
      <c r="E30" s="2" t="inlineStr">
        <is>
          <t>Asignado</t>
        </is>
      </c>
      <c r="F30" s="2" t="inlineStr">
        <is>
          <t>Ubicación para atención del Servicio: C40 TORRE A PISO 4 BIEN IMPRODUCTIVO
Número de contacto para la atención del servicio: Alex Amaya
Frente: SALUD
Titulo: Configurar licencia de office
Descripción: Agradezco el cambio de la licencia de Microsoft 365 de F1 a E3 para el usuario agamayafl@compensarsalud.com, ya que actualmente el usuario tiene asignada una licencia F1 y no podrá hacer uso de las aplicaciones de Office en el Escritorio Virtual.
Tipo de Servicio: PARAMETRIZAR Y O CONFIGURAR APLICACION
Aplicación: PORTAL SALUD
</t>
        </is>
      </c>
      <c r="G30" s="2" t="inlineStr">
        <is>
          <t>SERVICIOS DE TECNOLOGIA-GESTION DE APLICACIONES-PARAMETRIZAR Y O CONFIGURAR APLICACION</t>
        </is>
      </c>
      <c r="H30" s="2" t="inlineStr">
        <is>
          <t>Web</t>
        </is>
      </c>
      <c r="I30" s="2" t="inlineStr">
        <is>
          <t>Baja</t>
        </is>
      </c>
      <c r="J30" s="5">
        <v>46231.70694444444</v>
      </c>
      <c r="K30" s="2" t="inlineStr">
        <is>
          <t>JULIAN HUMBERTO MOLINA BERNAL</t>
        </is>
      </c>
      <c r="L30" s="2" t="inlineStr">
        <is>
          <t>SPT ESCRITORIO VIRTUAL</t>
        </is>
      </c>
      <c r="M30" s="2" t="inlineStr">
        <is>
          <t>SERVICIOS DE TI</t>
        </is>
      </c>
      <c r="N30" s="2"/>
      <c r="O30" s="2" t="inlineStr">
        <is>
          <t>SALUD</t>
        </is>
      </c>
      <c r="P30" s="2"/>
      <c r="Q30" s="2" t="inlineStr">
        <is>
          <t>AGGEXM7CDZJ5AAT8WNPNT8WNPNAJU5</t>
        </is>
      </c>
      <c r="R30" s="2" t="inlineStr">
        <is>
          <t>a) 0-4</t>
        </is>
      </c>
      <c r="S30" s="4"/>
      <c r="T30" s="2" t="inlineStr">
        <is>
          <t>CAJA DE COMPENSACION</t>
        </is>
      </c>
      <c r="U30" s="2" t="inlineStr">
        <is>
          <t>-</t>
        </is>
      </c>
      <c r="V30" s="2" t="inlineStr">
        <is>
          <t>31/07/2026 16:58</t>
        </is>
      </c>
    </row>
    <row r="31">
      <c r="A31" s="2" t="inlineStr">
        <is>
          <t>🟢</t>
        </is>
      </c>
      <c r="B31" s="3" t="str">
        <f>HYPERLINK("https://compensar-smartit.onbmc.com/smartit/app/#/workorder/IDGEXM7CDZJ5AAT8WOF0T8WOF0APF7","WO0000000313573")</f>
        <v>WO0000000313573</v>
      </c>
      <c r="C31" s="2" t="inlineStr">
        <is>
          <t>No</t>
        </is>
      </c>
      <c r="D31" s="2" t="inlineStr">
        <is>
          <t>Envio/instalación TECLADO PORTATIL SIN COVER HP ELITEBOOK 845 G7 activo 152800009770</t>
        </is>
      </c>
      <c r="E31" s="2" t="inlineStr">
        <is>
          <t>En curso</t>
        </is>
      </c>
      <c r="F31" s="2" t="inlineStr">
        <is>
          <t>Usuario: CC 1022959041 ANYI CATHERINE RUIZ VEGA.
Informa: Falla portátil corporativo, indica que se le cayó un botón del teclado, además las en general son muy borrosas, solicita validación.
Ubicación: Sede empresarial sotano.
Tiempo: 4:27 p. m. 21/07/2026.
Impacto: P009770.
Evidencias: NA.</t>
        </is>
      </c>
      <c r="G31" s="2" t="inlineStr">
        <is>
          <t>SERVICIOS DE TECNOLOGIA-ACTIVOS FIJOS TECNOLOGIA-ADQUISICION PARTES SIN GARANTIA</t>
        </is>
      </c>
      <c r="H31" s="2" t="inlineStr">
        <is>
          <t>Web</t>
        </is>
      </c>
      <c r="I31" s="2" t="inlineStr">
        <is>
          <t>Baja</t>
        </is>
      </c>
      <c r="J31" s="5">
        <v>46231.71527777778</v>
      </c>
      <c r="K31" s="2" t="inlineStr">
        <is>
          <t>GERLYN RENTERIA OROZCO</t>
        </is>
      </c>
      <c r="L31" s="2" t="inlineStr">
        <is>
          <t>ZONA CENTRO</t>
        </is>
      </c>
      <c r="M31" s="2" t="inlineStr">
        <is>
          <t>SERVICIOS DE TI</t>
        </is>
      </c>
      <c r="N31" s="2"/>
      <c r="O31" s="2" t="inlineStr">
        <is>
          <t>BIENESTAR Y DESARROLLO SOCIAL</t>
        </is>
      </c>
      <c r="P31" s="2"/>
      <c r="Q31" s="2" t="inlineStr">
        <is>
          <t>IDGEXM7CDZJ5AAT8WOF0T8WOF0APF7</t>
        </is>
      </c>
      <c r="R31" s="2" t="inlineStr">
        <is>
          <t>a) 0-4</t>
        </is>
      </c>
      <c r="S31" s="4"/>
      <c r="T31" s="2"/>
      <c r="U31" s="2" t="inlineStr">
        <is>
          <t>-</t>
        </is>
      </c>
      <c r="V31" s="2" t="inlineStr">
        <is>
          <t>28/08/2026 08:00</t>
        </is>
      </c>
    </row>
    <row r="32">
      <c r="A32" s="2" t="inlineStr">
        <is>
          <t>🟢</t>
        </is>
      </c>
      <c r="B32" s="3" t="str">
        <f>HYPERLINK("https://compensar-smartit.onbmc.com/smartit/app/#/workorder/IDGIBMZTENYZ6AT8WPWZT8WPWZPQR0","WO0000000313619")</f>
        <v>WO0000000313619</v>
      </c>
      <c r="C32" s="2" t="inlineStr">
        <is>
          <t>No</t>
        </is>
      </c>
      <c r="D32" s="2" t="inlineStr">
        <is>
          <t>Falla en Equipo</t>
        </is>
      </c>
      <c r="E32" s="2" t="inlineStr">
        <is>
          <t>Asignado</t>
        </is>
      </c>
      <c r="F32" s="2" t="inlineStr">
        <is>
          <t>Ubicación para atención del Servicio: BLOQUE F TORRE F PISO 3 CONVENIOS COMEDORES ESCOLARES
Número de contacto para la atención del servicio: 3118246016
Frente: BIENESTAR Y DESARROLLO SOCIAL
Falla: DAÑO FISICO
¿Cual es el dispositivo que presenta la falla?: [TECLADO]
Nombre de equipo (inventario o placa): PORTATIL P009536
Descripción del incidente o falla: Buenas tardes,
Agradecemos de su apoyo con la revisión del teclado de la colaboradora Alejenadra Chacón dado a que las teclas se encuentran sueltas
Gracias
Adjunto: [AGGEXM7CDZJ5AAT8UNXMT8UNXM77GX, AGGEXM7CDZJ5AAT8UNXNT8UNXN77HJ]</t>
        </is>
      </c>
      <c r="G32" s="2" t="inlineStr">
        <is>
          <t>SERVICIOS DE TECNOLOGIA-ACTIVOS FIJOS TECNOLOGIA-ADQUISICION PARTES SIN GARANTIA</t>
        </is>
      </c>
      <c r="H32" s="2" t="inlineStr">
        <is>
          <t>Web</t>
        </is>
      </c>
      <c r="I32" s="2" t="inlineStr">
        <is>
          <t>Baja</t>
        </is>
      </c>
      <c r="J32" s="5">
        <v>46231.743055555555</v>
      </c>
      <c r="K32" s="2" t="inlineStr">
        <is>
          <t>KEVIN ALEXIS GARCIA GUARACA</t>
        </is>
      </c>
      <c r="L32" s="2" t="inlineStr">
        <is>
          <t>ZONA CENTRO</t>
        </is>
      </c>
      <c r="M32" s="2" t="inlineStr">
        <is>
          <t>SERVICIOS DE TI</t>
        </is>
      </c>
      <c r="N32" s="2"/>
      <c r="O32" s="2" t="inlineStr">
        <is>
          <t>BIENESTAR Y DESARROLLO SOCIAL</t>
        </is>
      </c>
      <c r="P32" s="2"/>
      <c r="Q32" s="2" t="inlineStr">
        <is>
          <t>IDGIBMZTENYZ6AT8WPWZT8WPWZPQR0</t>
        </is>
      </c>
      <c r="R32" s="2" t="inlineStr">
        <is>
          <t>a) 0-4</t>
        </is>
      </c>
      <c r="S32" s="4"/>
      <c r="T32" s="2"/>
      <c r="U32" s="2" t="inlineStr">
        <is>
          <t>-</t>
        </is>
      </c>
      <c r="V32" s="2" t="inlineStr">
        <is>
          <t>28/08/2026 08:00</t>
        </is>
      </c>
    </row>
    <row r="33">
      <c r="A33" s="2" t="inlineStr">
        <is>
          <t>🟢</t>
        </is>
      </c>
      <c r="B33" s="3" t="str">
        <f>HYPERLINK("https://compensar-smartit.onbmc.com/smartit/app/#/workorder/IDGIBMZTENYZ6AT8XWZST8XWZSIKSF","WO0000000313692")</f>
        <v>WO0000000313692</v>
      </c>
      <c r="C33" s="2" t="inlineStr">
        <is>
          <t>No</t>
        </is>
      </c>
      <c r="D33" s="2" t="inlineStr">
        <is>
          <t>Desinstalación Software no Autorizado</t>
        </is>
      </c>
      <c r="E33" s="2" t="inlineStr">
        <is>
          <t>En curso</t>
        </is>
      </c>
      <c r="F33" s="2" t="inlineStr">
        <is>
          <t>Se identifica el programa blender, corel painter, k-lite codec pack 18  instalado en el equipo C003250 que opera el usuario ESCUELA DE CAPACITACION
El software debe ser desinstalado, ya que no está autorizado para el colaborador y se está incurriendo en una falta de acuerdo al PRO-PGT-0047 Procedimiento Gestión de Licenciamiento:
"Todas las adquisiciones de software de Compensar Caja y EPS están protegidas por derechos de autor y requiere licencia de uso. Deben estar avaladas por el Gerente del proceso y los subprocesos Licenciamiento y Seguridad de la Información"
Gracias.
se escala el caso al grupo MDS, pues solicitamos amablemente de su ayuda con la desinstalación del SW no Autorizado.
Mil gracias.</t>
        </is>
      </c>
      <c r="G33" s="2" t="inlineStr">
        <is>
          <t>SERVICIOS DE TECNOLOGIA-LICENCIAMIENTO-LICENCIAMIENTO NO MICROSOFT</t>
        </is>
      </c>
      <c r="H33" s="2" t="inlineStr">
        <is>
          <t>Web</t>
        </is>
      </c>
      <c r="I33" s="2" t="inlineStr">
        <is>
          <t>Baja</t>
        </is>
      </c>
      <c r="J33" s="5">
        <v>46232.38888888889</v>
      </c>
      <c r="K33" s="2" t="inlineStr">
        <is>
          <t>JUAN CAMILO RINCON BLANCO</t>
        </is>
      </c>
      <c r="L33" s="2" t="inlineStr">
        <is>
          <t>SPT ZONA CENTRO</t>
        </is>
      </c>
      <c r="M33" s="2" t="inlineStr">
        <is>
          <t>SERVICIOS DE TI</t>
        </is>
      </c>
      <c r="N33" s="2"/>
      <c r="O33" s="2" t="inlineStr">
        <is>
          <t>CENTRO DE SERVICIOS COMPARTIDOS</t>
        </is>
      </c>
      <c r="P33" s="2"/>
      <c r="Q33" s="2" t="inlineStr">
        <is>
          <t>IDGIBMZTENYZ6AT8XWZST8XWZSIKSF</t>
        </is>
      </c>
      <c r="R33" s="2" t="inlineStr">
        <is>
          <t>a) 0-4</t>
        </is>
      </c>
      <c r="S33" s="4"/>
      <c r="T33" s="2" t="inlineStr">
        <is>
          <t>CAJA DE COMPENSACION</t>
        </is>
      </c>
      <c r="U33" s="2" t="inlineStr">
        <is>
          <t>-</t>
        </is>
      </c>
      <c r="V33" s="2" t="inlineStr">
        <is>
          <t>03/08/2026 09:20</t>
        </is>
      </c>
    </row>
    <row r="34">
      <c r="A34" s="2" t="inlineStr">
        <is>
          <t>🟢</t>
        </is>
      </c>
      <c r="B34" s="3" t="str">
        <f>HYPERLINK("https://compensar-smartit.onbmc.com/smartit/app/#/workorder/IDGEXM7CDZJ5AAT8XUCIT8XUCI5C1E","WO0000000313727")</f>
        <v>WO0000000313727</v>
      </c>
      <c r="C34" s="2" t="inlineStr">
        <is>
          <t>No</t>
        </is>
      </c>
      <c r="D34" s="2" t="inlineStr">
        <is>
          <t>Validación para instalación del aplicativo SAP</t>
        </is>
      </c>
      <c r="E34" s="2" t="inlineStr">
        <is>
          <t>En curso</t>
        </is>
      </c>
      <c r="F34" s="2" t="inlineStr">
        <is>
          <t>Usuario: La usuaria LINA MARCELA MONTOYA HERRERA se comunica con la mesa de servicio para solicitar la instalación del aplicativo SAP en su equipo de cómputo.
Informa: La usuaria informa que requiere la instalación del aplicativo SAP y que utiliza la VPN FortiClient para conectarse. Se realiza conexión remota para validar la solicitud y los permisos asignados. Durante la validación se evidencia que la usuaria cuenta con el perfil VPN **apli_cons**.
Ubicación: Pereira.
Tiempo: 8:03 a. m. 29/07/2026.
Impacto: No especificada.
Placa de equipo: CE005454.
Evidencias:
1. Se realiza conexión remota al equipo de la usuaria.
2. Se validan los permisos asignados a la usuaria.
3. Se verifica que la usuaria utiliza VPN FortiClient.
4. Se evidencia que la usuaria cuenta con el perfil VPN **apli_cons**.</t>
        </is>
      </c>
      <c r="G34" s="2" t="inlineStr">
        <is>
          <t>SERVICIOS DE TECNOLOGIA-GESTION DE APLICACIONES-INSTALAR DESINSTALAR APLICACION</t>
        </is>
      </c>
      <c r="H34" s="2" t="inlineStr">
        <is>
          <t>Telefono</t>
        </is>
      </c>
      <c r="I34" s="2" t="inlineStr">
        <is>
          <t>Baja</t>
        </is>
      </c>
      <c r="J34" s="5">
        <v>46232.34583333333</v>
      </c>
      <c r="K34" s="2" t="inlineStr">
        <is>
          <t>FABIAN JESSID PASTRANA AGUIRRE</t>
        </is>
      </c>
      <c r="L34" s="2" t="inlineStr">
        <is>
          <t>SPT ESCRITORIO VIRTUAL</t>
        </is>
      </c>
      <c r="M34" s="2" t="inlineStr">
        <is>
          <t>SERVICIOS DE TI</t>
        </is>
      </c>
      <c r="N34" s="2"/>
      <c r="O34" s="2" t="inlineStr">
        <is>
          <t>SALUD</t>
        </is>
      </c>
      <c r="P34" s="2"/>
      <c r="Q34" s="2" t="inlineStr">
        <is>
          <t>IDGEXM7CDZJ5AAT8XUCIT8XUCI5C1E</t>
        </is>
      </c>
      <c r="R34" s="2" t="inlineStr">
        <is>
          <t>a) 0-4</t>
        </is>
      </c>
      <c r="S34" s="4"/>
      <c r="T34" s="2"/>
      <c r="U34" s="2" t="inlineStr">
        <is>
          <t>-</t>
        </is>
      </c>
      <c r="V34" s="2" t="inlineStr">
        <is>
          <t>03/08/2026 08:18</t>
        </is>
      </c>
    </row>
    <row r="35">
      <c r="A35" s="2" t="inlineStr">
        <is>
          <t>🟢</t>
        </is>
      </c>
      <c r="B35" s="3" t="str">
        <f>HYPERLINK("https://compensar-smartit.onbmc.com/smartit/app/#/workorder/AGGEXM7CDZJ5AAT8YBZTT8YBZTQDAD","WO0000000313796")</f>
        <v>WO0000000313796</v>
      </c>
      <c r="C35" s="2" t="inlineStr">
        <is>
          <t>No</t>
        </is>
      </c>
      <c r="D35" s="2" t="inlineStr">
        <is>
          <t>Asesoría, Acompañamiento, Actividades en Sitio y Entrega de Informes</t>
        </is>
      </c>
      <c r="E35" s="2" t="inlineStr">
        <is>
          <t>En curso</t>
        </is>
      </c>
      <c r="F35" s="2" t="inlineStr">
        <is>
          <t>Ubicación para atención del Servicio: TELETRABAJO ESCRITORIO VIRTUAL
Número de contacto para la atención del servicio: 3174751941
Frente: SALUD
Titulo: Nivelación de máquinas – Perfiles AVD
Descripción: Cordial saludo.
Solicitamos el apoyo del equipo de Escritorios Virtuales (Sonda) para realizar la nivelación de las siguientes máquinas base (Golden Image):
Nombre	IP	Perfil
vm-img-prf02-a	10.251.160.75	Perfil 2 – Aseguramiento
vm-img-prf03-a	10.251.160.133	Perfil 3 – Aseguramiento
vm-img-prf09-p	10.251.163.139	Perfil 9 – Prestación
Usuario de acceso: ususoporte
Resultado esperado: Nivelar las máquinas base y validar que queden homologadas con la configuración estándar para futuras publicaciones de imágenes.
Cualquier inquietud o información adicional, quedamos atentos.
Tipo de Servicio: EJECUCION DE ACTIVIDADES REMOTAS
Subcategoría: EJECUCION DE ACTIVIDADES
Grupo Requerido: SPT ESCRITORIO VIRTUAL
Fecha requerida para la actividad: 2026-08-01
Duración de la actividad en minutos: 120
Adjunto: [AGGEXM7CDZJ5AAT8YBZ8T8YBZ8QCJN]
</t>
        </is>
      </c>
      <c r="G35" s="2" t="inlineStr">
        <is>
          <t>SERVICIOS DE TECNOLOGIA-ACOMPANAMIENTO-EJECUCION DE ACTIVIDADES REMOTAS</t>
        </is>
      </c>
      <c r="H35" s="2" t="inlineStr">
        <is>
          <t>Web</t>
        </is>
      </c>
      <c r="I35" s="2" t="inlineStr">
        <is>
          <t>Baja</t>
        </is>
      </c>
      <c r="J35" s="5">
        <v>46232.46111111111</v>
      </c>
      <c r="K35" s="2" t="inlineStr">
        <is>
          <t>JULIAN HUMBERTO MOLINA BERNAL</t>
        </is>
      </c>
      <c r="L35" s="2" t="inlineStr">
        <is>
          <t>SPT ESCRITORIO VIRTUAL</t>
        </is>
      </c>
      <c r="M35" s="2" t="inlineStr">
        <is>
          <t>SERVICIOS DE TI</t>
        </is>
      </c>
      <c r="N35" s="2"/>
      <c r="O35" s="2" t="inlineStr">
        <is>
          <t>SALUD</t>
        </is>
      </c>
      <c r="P35" s="2"/>
      <c r="Q35" s="2" t="inlineStr">
        <is>
          <t>AGGEXM7CDZJ5AAT8YBZTT8YBZTQDAD</t>
        </is>
      </c>
      <c r="R35" s="2" t="inlineStr">
        <is>
          <t>a) 0-4</t>
        </is>
      </c>
      <c r="S35" s="4"/>
      <c r="T35" s="2" t="inlineStr">
        <is>
          <t>SALUD</t>
        </is>
      </c>
      <c r="U35" s="2" t="inlineStr">
        <is>
          <t>-</t>
        </is>
      </c>
      <c r="V35" s="2" t="inlineStr">
        <is>
          <t>03/08/2026 11:04</t>
        </is>
      </c>
    </row>
    <row r="36">
      <c r="A36" s="2" t="inlineStr">
        <is>
          <t>🟢</t>
        </is>
      </c>
      <c r="B36" s="3" t="str">
        <f>HYPERLINK("https://compensar-smartit.onbmc.com/smartit/app/#/workorder/IDGEXM7CDZJ5AAT8YCD3T8YCD3QHOE","WO0000000313797")</f>
        <v>WO0000000313797</v>
      </c>
      <c r="C36" s="2" t="inlineStr">
        <is>
          <t>No</t>
        </is>
      </c>
      <c r="D36" s="2" t="inlineStr">
        <is>
          <t>SOLICITUD DE RETIRO DE MONITORES AVERIADOS DE LA SEDE</t>
        </is>
      </c>
      <c r="E36" s="2" t="inlineStr">
        <is>
          <t>En curso</t>
        </is>
      </c>
      <c r="F36" s="2" t="inlineStr">
        <is>
          <t>Usuario: Jefferson Escobar Aldana
Informa: Usuario que se retire (3) monitores averiados de la sede.
Teléfono: 3222225096
Ubicación: AUTOPISTA SUR PISO 1
Tiempo: 11:02 29/07/2026
Impacto: MONITORES DE PC (CNK6390NXX)
Evidencias: No aplica</t>
        </is>
      </c>
      <c r="G36" s="2" t="inlineStr">
        <is>
          <t>SERVICIOS DE TECNOLOGIA-ACTIVOS FIJOS TECNOLOGIA-RETIRO</t>
        </is>
      </c>
      <c r="H36" s="2" t="inlineStr">
        <is>
          <t>Telefono</t>
        </is>
      </c>
      <c r="I36" s="2" t="inlineStr">
        <is>
          <t>Baja</t>
        </is>
      </c>
      <c r="J36" s="5">
        <v>46232.46527777778</v>
      </c>
      <c r="K36" s="2" t="inlineStr">
        <is>
          <t>JEFFERSON ESCOBAR ALDANA</t>
        </is>
      </c>
      <c r="L36" s="2" t="inlineStr">
        <is>
          <t>SPT ZONA SURORIENTE</t>
        </is>
      </c>
      <c r="M36" s="2" t="inlineStr">
        <is>
          <t>SERVICIOS DE TI</t>
        </is>
      </c>
      <c r="N36" s="2" t="inlineStr">
        <is>
          <t>C000119</t>
        </is>
      </c>
      <c r="O36" s="2" t="inlineStr">
        <is>
          <t>SALUD</t>
        </is>
      </c>
      <c r="P36" s="2"/>
      <c r="Q36" s="2" t="inlineStr">
        <is>
          <t>IDGEXM7CDZJ5AAT8YCD3T8YCD3QHOE</t>
        </is>
      </c>
      <c r="R36" s="2" t="inlineStr">
        <is>
          <t>a) 0-4</t>
        </is>
      </c>
      <c r="S36" s="4"/>
      <c r="T36" s="2"/>
      <c r="U36" s="2" t="inlineStr">
        <is>
          <t>-</t>
        </is>
      </c>
      <c r="V36" s="2" t="inlineStr">
        <is>
          <t>03/08/2026 11:10</t>
        </is>
      </c>
    </row>
    <row r="37">
      <c r="A37" s="2" t="inlineStr">
        <is>
          <t>🟢</t>
        </is>
      </c>
      <c r="B37" s="3" t="str">
        <f>HYPERLINK("https://compensar-smartit.onbmc.com/smartit/app/#/workorder/IDGIBMZTENYZ6AT8YCX7T8YCX77W0O","WO0000000313853")</f>
        <v>WO0000000313853</v>
      </c>
      <c r="C37" s="2" t="inlineStr">
        <is>
          <t>No</t>
        </is>
      </c>
      <c r="D37" s="2" t="inlineStr">
        <is>
          <t>Instalación de Aplicativo IVMS</t>
        </is>
      </c>
      <c r="E37" s="2" t="inlineStr">
        <is>
          <t>En curso</t>
        </is>
      </c>
      <c r="F37" s="2" t="inlineStr">
        <is>
          <t>Usuario: Luis Eduardo Rodriguez Marin
CC: 1024507726
Teléfono: 3058870816
Correo: lerodriguezm@compensar.com
Placa del equipo: P016792
Incidente reportado: El usuario informa que requiere instalar el aplicativo IVMS para gestión de cámaras en un equipo; durante el proceso solicita credenciales de administrador. Se realiza intento de instalación, pero no es posible completar el procedimiento, por lo cual se escala el caso a sitio para validación.
Soporte de primer nivel: N/A
Ubicación: CPA, piso 3 
Fecha y hora de reporte: 29/07/2026 – 10:49 a. m.
Impacto: 1
Evidencias: No adjunta evidencias.
Descripción del caso:
El usuario Luis Eduardo Rodriguez Marin reporta inconvenientes al intentar realizar la instalación del aplicativo IVMS requerido para un usuario de cámaras. Durante el proceso de instalación, el sistema solicita permisos de administrador y no permite completar la ejecución. Se realizan validaciones iniciales sin lograr finalizar la instalación, por lo cual se escala el caso al equipo de sitio para realizar el análisis correspondiente y gestionar la solución.
La instalación del aplicativo es para los usuarios: 
Usuario: ftguzmang@compensar.com
CC: 51993154
Tel: 3005654184
Placa: P016792
Correo: ftguzmang@compensar.com
Ubicación: CPA 3er piso calle 19#69f-35
Usuario: eeneiran
CC: 1098656001
Tel: 3102012637
Correo: eeneiran@compensar.com
Ubicación: CPA 3er piso calle 19#69f-35</t>
        </is>
      </c>
      <c r="G37" s="2" t="inlineStr">
        <is>
          <t>SERVICIOS DE TECNOLOGIA-ASESORIA/ACOMPANAMIENTO/ACTIVIDADES-ACOMPAÑAMIENTO / EJECUCION DE ACTIVIDAD EN SITIO</t>
        </is>
      </c>
      <c r="H37" s="2" t="inlineStr">
        <is>
          <t>Telefono</t>
        </is>
      </c>
      <c r="I37" s="2" t="inlineStr">
        <is>
          <t>Baja</t>
        </is>
      </c>
      <c r="J37" s="5">
        <v>46232.48263888889</v>
      </c>
      <c r="K37" s="2" t="inlineStr">
        <is>
          <t>KEVIN ALEXIS GARCIA GUARACA</t>
        </is>
      </c>
      <c r="L37" s="2" t="inlineStr">
        <is>
          <t>ZONA CENTRO</t>
        </is>
      </c>
      <c r="M37" s="2" t="inlineStr">
        <is>
          <t>SERVICIOS DE TI</t>
        </is>
      </c>
      <c r="N37" s="2" t="inlineStr">
        <is>
          <t>P016792</t>
        </is>
      </c>
      <c r="O37" s="2" t="inlineStr">
        <is>
          <t>BIENESTAR Y DESARROLLO SOCIAL</t>
        </is>
      </c>
      <c r="P37" s="2"/>
      <c r="Q37" s="2" t="inlineStr">
        <is>
          <t>IDGIBMZTENYZ6AT8YCX7T8YCX77W0O</t>
        </is>
      </c>
      <c r="R37" s="2" t="inlineStr">
        <is>
          <t>a) 0-4</t>
        </is>
      </c>
      <c r="S37" s="4"/>
      <c r="T37" s="2"/>
      <c r="U37" s="2" t="inlineStr">
        <is>
          <t>-</t>
        </is>
      </c>
      <c r="V37" s="2" t="inlineStr">
        <is>
          <t>31/07/2026 13:35</t>
        </is>
      </c>
    </row>
    <row r="38">
      <c r="A38" s="2" t="inlineStr">
        <is>
          <t>🟢</t>
        </is>
      </c>
      <c r="B38" s="3" t="str">
        <f>HYPERLINK("https://compensar-smartit.onbmc.com/smartit/app/#/workorder/IDGEXM7CDZJ5AAT8Y2L2T8Y2L2BKUL","WO0000000313986")</f>
        <v>WO0000000313986</v>
      </c>
      <c r="C38" s="2" t="inlineStr">
        <is>
          <t>No</t>
        </is>
      </c>
      <c r="D38" s="2" t="inlineStr">
        <is>
          <t>Equipo en afeccion</t>
        </is>
      </c>
      <c r="E38" s="2" t="inlineStr">
        <is>
          <t>Asignado</t>
        </is>
      </c>
      <c r="F38" s="2" t="inlineStr">
        <is>
          <t>Usuario: FRANCIA LILIANA RAMÍREZ OTÁLVARO
Informa: La usuaria se comunica con la Mesa de Servicio indicando que el equipo presenta alta lentitud y requiere revisión. informa que el equipo se encuentra actualmente asignado a otra persona. Se valida que aún no se ha radicado la solicitud de reasignación del activo.
Usuario para contacto
ANDREA BENAVIDES
3017577482
Ubicación: CUR EN ADM -
Tiempo: No especificado
Impacto: Usuarios afectados 1
Placa de equipo: No especificada
Evidencias:
1. Se recibió el reporte relacionado con la lentitud del equipo de cómputo.
2. Se informó que el equipo se encuentra en uso por otra persona.
3. Se validó que no existe una solicitud radicada para la reasignación del activo.
4. Se documentó la novedad para la gestión correspondiente.
5. Se registró la cédula de la usuaria: 30505607.
6. Se registró como contacto a Andrea Benavides, teléfono 3017577482.</t>
        </is>
      </c>
      <c r="G38" s="2" t="inlineStr">
        <is>
          <t>SERVICIOS DE TECNOLOGIA-ACTIVOS FIJOS TECNOLOGIA-ADQUISICION PARTES SIN GARANTIA</t>
        </is>
      </c>
      <c r="H38" s="2" t="inlineStr">
        <is>
          <t>Web</t>
        </is>
      </c>
      <c r="I38" s="2" t="inlineStr">
        <is>
          <t>Baja</t>
        </is>
      </c>
      <c r="J38" s="5">
        <v>46232.62222222222</v>
      </c>
      <c r="K38" s="2" t="inlineStr">
        <is>
          <t>ANDERSON JULIAN RATIVA RAMIREZ</t>
        </is>
      </c>
      <c r="L38" s="2" t="inlineStr">
        <is>
          <t>ZONA CENTRO</t>
        </is>
      </c>
      <c r="M38" s="2" t="inlineStr">
        <is>
          <t>SERVICIOS DE TI</t>
        </is>
      </c>
      <c r="N38" s="2"/>
      <c r="O38" s="2" t="inlineStr">
        <is>
          <t>BIENESTAR Y DESARROLLO SOCIAL</t>
        </is>
      </c>
      <c r="P38" s="2"/>
      <c r="Q38" s="2" t="inlineStr">
        <is>
          <t>IDGEXM7CDZJ5AAT8Y2L2T8Y2L2BKUL</t>
        </is>
      </c>
      <c r="R38" s="2" t="inlineStr">
        <is>
          <t>a) 0-4</t>
        </is>
      </c>
      <c r="S38" s="4"/>
      <c r="T38" s="2"/>
      <c r="U38" s="2" t="inlineStr">
        <is>
          <t>-</t>
        </is>
      </c>
      <c r="V38" s="2" t="inlineStr">
        <is>
          <t>28/08/2026 14:56</t>
        </is>
      </c>
    </row>
    <row r="39">
      <c r="A39" s="2" t="inlineStr">
        <is>
          <t>🟢</t>
        </is>
      </c>
      <c r="B39" s="3" t="str">
        <f>HYPERLINK("https://compensar-smartit.onbmc.com/smartit/app/#/workorder/IDGIBMZTENYZ6AT8YONLT8YONL1YQN","WO0000000314096")</f>
        <v>WO0000000314096</v>
      </c>
      <c r="C39" s="2" t="inlineStr">
        <is>
          <t>No</t>
        </is>
      </c>
      <c r="D39" s="2" t="inlineStr">
        <is>
          <t>Solicita validacion impresora Ricoh no imprime</t>
        </is>
      </c>
      <c r="E39" s="2" t="inlineStr">
        <is>
          <t>En curso</t>
        </is>
      </c>
      <c r="F39" s="2" t="inlineStr">
        <is>
          <t>Usuario:LAURA VANESSA VILORIA LOZANO
Informa: Solicita validacion impresora Ricoh no imprime
Ubicación: call 94
Tiempo:29-07-2026  7:16pm
Impacto: 1         
Evidencias: NO</t>
        </is>
      </c>
      <c r="G39" s="2" t="inlineStr">
        <is>
          <t>SERVICIOS DE TECNOLOGIA-ACOMPANAMIENTO-EJECUCION DE ACTIVIDADES EN SITIO</t>
        </is>
      </c>
      <c r="H39" s="2" t="inlineStr">
        <is>
          <t>Telefono</t>
        </is>
      </c>
      <c r="I39" s="2" t="inlineStr">
        <is>
          <t>Baja</t>
        </is>
      </c>
      <c r="J39" s="5">
        <v>46232.802777777775</v>
      </c>
      <c r="K39" s="2" t="inlineStr">
        <is>
          <t>MARIA FERNANDA PEREIRA BUENO</t>
        </is>
      </c>
      <c r="L39" s="2" t="inlineStr">
        <is>
          <t>SPT CABECERA CALLE 94</t>
        </is>
      </c>
      <c r="M39" s="2" t="inlineStr">
        <is>
          <t>SERVICIOS DE TI</t>
        </is>
      </c>
      <c r="N39" s="2"/>
      <c r="O39" s="2" t="inlineStr">
        <is>
          <t>SALUD</t>
        </is>
      </c>
      <c r="P39" s="2"/>
      <c r="Q39" s="2" t="inlineStr">
        <is>
          <t>IDGIBMZTENYZ6AT8YONLT8YONL1YQN</t>
        </is>
      </c>
      <c r="R39" s="2" t="inlineStr">
        <is>
          <t>a) 0-4</t>
        </is>
      </c>
      <c r="S39" s="4"/>
      <c r="T39" s="2"/>
      <c r="U39" s="2" t="inlineStr">
        <is>
          <t>-</t>
        </is>
      </c>
      <c r="V39" s="2" t="inlineStr">
        <is>
          <t>04/08/2026 08:00</t>
        </is>
      </c>
    </row>
    <row r="40">
      <c r="A40" s="2" t="inlineStr">
        <is>
          <t>🟢</t>
        </is>
      </c>
      <c r="B40" s="3" t="str">
        <f>HYPERLINK("https://compensar-smartit.onbmc.com/smartit/app/#/workorder/AGGEXM7CDZJ5AAT8Y7GET8Y7GEIWEK","WO0000000314130")</f>
        <v>WO0000000314130</v>
      </c>
      <c r="C40" s="2" t="inlineStr">
        <is>
          <t>No</t>
        </is>
      </c>
      <c r="D40" s="2" t="inlineStr">
        <is>
          <t>Servicios Telefónicos - Internos</t>
        </is>
      </c>
      <c r="E40" s="2" t="inlineStr">
        <is>
          <t>En curso</t>
        </is>
      </c>
      <c r="F40" s="2" t="inlineStr">
        <is>
          <t>Ubicación para atención del Servicio: CRA 69 TORRE A PISO 2 TELEMEDICINA
Número de contacto para la atención del servicio: 3103961587
Frente: SALUD
Titulo: DIADEMAS TELECONSULTA
Descripción: Buen dia se solciita la revison de 3 diademas que se encuentran en mal estado
Tipo de Servicio: REPORTE USO EXTENSION
Contacto responsable de la línea: 3103961587
Nombre Completo: jhon fredy morales
Número de extensión: 16272
</t>
        </is>
      </c>
      <c r="G40" s="2" t="inlineStr">
        <is>
          <t>SERVICIOS DE TECNOLOGIA-TELEFONIA-REPORTE USO EXTENSION</t>
        </is>
      </c>
      <c r="H40" s="2" t="inlineStr">
        <is>
          <t>Web</t>
        </is>
      </c>
      <c r="I40" s="2" t="inlineStr">
        <is>
          <t>Media</t>
        </is>
      </c>
      <c r="J40" s="5">
        <v>46232.688888888886</v>
      </c>
      <c r="K40" s="2" t="inlineStr">
        <is>
          <t>DANIEL ALEJANDRO BORDA MESTIZO</t>
        </is>
      </c>
      <c r="L40" s="2" t="inlineStr">
        <is>
          <t>SPT CABECERA CARRERA 69</t>
        </is>
      </c>
      <c r="M40" s="2" t="inlineStr">
        <is>
          <t>SERVICIOS DE TI</t>
        </is>
      </c>
      <c r="N40" s="2"/>
      <c r="O40" s="2" t="inlineStr">
        <is>
          <t>SALUD</t>
        </is>
      </c>
      <c r="P40" s="2"/>
      <c r="Q40" s="2" t="inlineStr">
        <is>
          <t>AGGEXM7CDZJ5AAT8Y7GET8Y7GEIWEK</t>
        </is>
      </c>
      <c r="R40" s="2" t="inlineStr">
        <is>
          <t>a) 0-4</t>
        </is>
      </c>
      <c r="S40" s="4"/>
      <c r="T40" s="2" t="inlineStr">
        <is>
          <t>SALUD</t>
        </is>
      </c>
      <c r="U40" s="2" t="inlineStr">
        <is>
          <t>-</t>
        </is>
      </c>
      <c r="V40" s="2" t="inlineStr">
        <is>
          <t>31/07/2026 16:32</t>
        </is>
      </c>
    </row>
    <row r="41">
      <c r="A41" s="2" t="inlineStr">
        <is>
          <t>🟢</t>
        </is>
      </c>
      <c r="B41" s="3" t="str">
        <f>HYPERLINK("https://compensar-smartit.onbmc.com/smartit/app/#/workorder/AGGEXM7CDZJ5AAT8Y7JDT8Y7JDJAJL","WO0000000314131")</f>
        <v>WO0000000314131</v>
      </c>
      <c r="C41" s="2" t="inlineStr">
        <is>
          <t>No</t>
        </is>
      </c>
      <c r="D41" s="2" t="inlineStr">
        <is>
          <t>Asesoría, Acompañamiento, Actividades en Sitio y Entrega de Informes</t>
        </is>
      </c>
      <c r="E41" s="2" t="inlineStr">
        <is>
          <t>En curso</t>
        </is>
      </c>
      <c r="F41" s="2" t="inlineStr">
        <is>
          <t>Ubicación para atención del Servicio: TELETRABAJO ESCRITORIO VIRTUAL
Número de contacto para la atención del servicio: 3174751941
Frente: SALUD
Titulo: Solicitud depuración de equipos EV y envío de evidencias
Descripción: Buen día equipo SPT Escritorios Virtuales
Solicito muy amablemente su apoyo para realizar la depuración de información (archivos temporales, caché, perfiles no utilizados y demás elementos que apliquen) en los siguientes equipos de Escritorios Virtuales:
Se comparte escritorios alarmados con uso de almacenamiento superior a 85%
Perfil	Escritorio	Almacenamiento 
Perfil 3	VMAZTTMPRD3-43	85%
Perfil 4	VMAZTTMPRD4-93	86%
Perfil 4	VMAZTTMPRD4-85	86%
Perfil Prestación 	EVTTWVDPRES-4	93%
Perfil Prestación 	EVTTWVDPRES-1	91%
Perfil Prestación 	EVTTWVDPRES-7	91%
Perfil Prestación 	EVAZTTPRES8-0	91%
Perfil Prestación 	EVTTMSPRS12-0	91%
Perfil Prestación 	EVTTMSPRS29-2	91%
Perfil Prestación 	EVTTMSPRS26-2	90%
Perfil Prestación 	EVTTMSPRS11-0	90%
Perfil Prestación 	EVAZTTPRES0-0	88%
Una vez finalizada la depuración, agradezco por favor adjuntar evidencias donde se evidencie:
Tamaño en disco antes de la depuración
Tamaño en disco después de la depuración
Capturas de pantalla del resultado final por cada equipo
Quedo atento a cualquier información adicional que requieran para avanzar con la solicitud.
Muchas gracias por el apoyo.
Tipo de Servicio: EJECUCION DE ACTIVIDADES REMOTAS
Subcategoría: EJECUCION DE ACTIVIDADES
Grupo Requerido: SPT ESCRITORIO VIRTUAL
Fecha requerida para la actividad: 2026-07-30
Duración de la actividad en minutos: 120
Adjunto: [AGGEXM7CDZJ5AAT8Y7I4T8Y7I4IZ7Q]
</t>
        </is>
      </c>
      <c r="G41" s="2" t="inlineStr">
        <is>
          <t>SERVICIOS DE TECNOLOGIA-ACOMPANAMIENTO-EJECUCION DE ACTIVIDADES REMOTAS</t>
        </is>
      </c>
      <c r="H41" s="2" t="inlineStr">
        <is>
          <t>Web</t>
        </is>
      </c>
      <c r="I41" s="2" t="inlineStr">
        <is>
          <t>Baja</t>
        </is>
      </c>
      <c r="J41" s="5">
        <v>46232.69027777778</v>
      </c>
      <c r="K41" s="2" t="inlineStr">
        <is>
          <t>FABIAN JESSID PASTRANA AGUIRRE</t>
        </is>
      </c>
      <c r="L41" s="2" t="inlineStr">
        <is>
          <t>SPT ESCRITORIO VIRTUAL</t>
        </is>
      </c>
      <c r="M41" s="2" t="inlineStr">
        <is>
          <t>SERVICIOS DE TI</t>
        </is>
      </c>
      <c r="N41" s="2"/>
      <c r="O41" s="2" t="inlineStr">
        <is>
          <t>SALUD</t>
        </is>
      </c>
      <c r="P41" s="2"/>
      <c r="Q41" s="2" t="inlineStr">
        <is>
          <t>AGGEXM7CDZJ5AAT8Y7JDT8Y7JDJAJL</t>
        </is>
      </c>
      <c r="R41" s="2" t="inlineStr">
        <is>
          <t>a) 0-4</t>
        </is>
      </c>
      <c r="S41" s="4"/>
      <c r="T41" s="2" t="inlineStr">
        <is>
          <t>SALUD</t>
        </is>
      </c>
      <c r="U41" s="2" t="inlineStr">
        <is>
          <t>-</t>
        </is>
      </c>
      <c r="V41" s="2" t="inlineStr">
        <is>
          <t>03/08/2026 16:34</t>
        </is>
      </c>
    </row>
    <row r="42">
      <c r="A42" s="2" t="inlineStr">
        <is>
          <t>🟢</t>
        </is>
      </c>
      <c r="B42" s="3" t="str">
        <f>HYPERLINK("https://compensar-smartit.onbmc.com/smartit/app/#/workorder/AGGEXM7CDZJ5AAT8Y8FBT8Y8FB000G","WO0000000314138")</f>
        <v>WO0000000314138</v>
      </c>
      <c r="C42" s="2" t="inlineStr">
        <is>
          <t>No</t>
        </is>
      </c>
      <c r="D42" s="2" t="inlineStr">
        <is>
          <t>Asesoría, Acompañamiento, Actividades en Sitio y Entrega de Informes</t>
        </is>
      </c>
      <c r="E42" s="2" t="inlineStr">
        <is>
          <t>Asignado</t>
        </is>
      </c>
      <c r="F42" s="2" t="inlineStr">
        <is>
          <t>Ubicación para atención del Servicio: TELETRABAJO ESCRITORIO VIRTUAL
Número de contacto para la atención del servicio: 3195179420
Frente: SALUD
Titulo: Solicitud de soporte en sitio
Descripción: Buen día agradezco de su ayuda con un acompañamiento en sitio para apoyar la actividad el día martes 21 de julio 2026, sede Clinica de la Mujer, a las 10:00 am, ya que se realizara validación, configuración, para programar de los glucometros.
Ubicación: Clínica de a Mujer Laboratorio sótano
Dirección: Cra 19c Nª 91-17 Bogotá - Colombia
Fecha hora: Viernes 31/07/2026, 'de' 10:00 AM a 12:00 PM
Contacto en sitio: Paula Novoa 3202807901 / Solanyi Camargo 3016382685
Contacto en sitio proveedor: Jonathan Barahona 3226990417
Sesion de teams:
Impresión de Etiquetas desde los PC C. de la Mujer
Mar 21/07/2026, 'de' 11:00 AM a 12:00 PM
________________________________________________________________________________
Reunión de Microsoft Teams
Unirse: https://teams.microsoft.com/meet/223145089037800?p=NE2bhX1YotLW3KXlZO
Id. de reunión: 223 145 089 037 800
Código de acceso: Zd2d2ud3
¿Necesita ayuda? | Referencia del sistema
Para organizadores: Opciones de la reunión
________________________________________________________________________________
-Configuración de parámetros de red (dirección IP y DNS).
-Validación de conectividad y navegación.
Gracias
Tipo de Servicio: ACOMPAÑAMIENTO / EJECUCION DE ACTIVIDAD EN SITIO
Grupo Requerido: ASEGURADORES TECNOLOGICOS
Fecha requerida para la actividad: 2026-07-31
Duración de la actividad en minutos: 120
</t>
        </is>
      </c>
      <c r="G42" s="2" t="inlineStr">
        <is>
          <t>SERVICIOS DE TECNOLOGIA-ASESORIA/ACOMPANAMIENTO/ACTIVIDADES-ACOMPAÑAMIENTO / EJECUCION DE ACTIVIDAD EN SITIO</t>
        </is>
      </c>
      <c r="H42" s="2" t="inlineStr">
        <is>
          <t>Web</t>
        </is>
      </c>
      <c r="I42" s="2" t="inlineStr">
        <is>
          <t>Baja</t>
        </is>
      </c>
      <c r="J42" s="5">
        <v>46232.70347222222</v>
      </c>
      <c r="K42" s="2" t="inlineStr">
        <is>
          <t>EDWIN ALEXIS PATIÑO TEJEDOR</t>
        </is>
      </c>
      <c r="L42" s="2" t="inlineStr">
        <is>
          <t>ZONA NORTE</t>
        </is>
      </c>
      <c r="M42" s="2" t="inlineStr">
        <is>
          <t>SERVICIOS DE TI</t>
        </is>
      </c>
      <c r="N42" s="2"/>
      <c r="O42" s="2" t="inlineStr">
        <is>
          <t>SALUD</t>
        </is>
      </c>
      <c r="P42" s="2"/>
      <c r="Q42" s="2" t="inlineStr">
        <is>
          <t>AGGEXM7CDZJ5AAT8Y8FBT8Y8FB000G</t>
        </is>
      </c>
      <c r="R42" s="2" t="inlineStr">
        <is>
          <t>a) 0-4</t>
        </is>
      </c>
      <c r="S42" s="4"/>
      <c r="T42" s="2" t="inlineStr">
        <is>
          <t>CAJA DE COMPENSACION</t>
        </is>
      </c>
      <c r="U42" s="2" t="inlineStr">
        <is>
          <t>-</t>
        </is>
      </c>
      <c r="V42" s="2" t="inlineStr">
        <is>
          <t>03/08/2026 09:53</t>
        </is>
      </c>
    </row>
    <row r="43">
      <c r="A43" s="2" t="inlineStr">
        <is>
          <t>🟢</t>
        </is>
      </c>
      <c r="B43" s="3" t="str">
        <f>HYPERLINK("https://compensar-smartit.onbmc.com/smartit/app/#/workorder/IDGEXM7CDZJ5AAT8ZMVMT8ZMVMOSU0","WO0000000314185")</f>
        <v>WO0000000314185</v>
      </c>
      <c r="C43" s="2" t="inlineStr">
        <is>
          <t>No</t>
        </is>
      </c>
      <c r="D43" s="2" t="inlineStr">
        <is>
          <t>ACTUALIZACION DE JAVA PARA SAP</t>
        </is>
      </c>
      <c r="E43" s="2" t="inlineStr">
        <is>
          <t>Asignado</t>
        </is>
      </c>
      <c r="F43" s="2" t="inlineStr">
        <is>
          <t>Usuaria: Sandra Guiomar Bejarano Forero
Informa: Usuaria solicita la actualización de JAVA para operación en SAP.
Teléfono: 3212574629
Ubicación: SAN ROQUE II PISO 6 CONSULTORIO SALUD ORAL 602
Tiempo: 07:05 30/07/2026
Impacto: C014686
Evidencias: Se adjunta evidencia para escalamiento de caso</t>
        </is>
      </c>
      <c r="G43" s="2" t="inlineStr">
        <is>
          <t>SERVICIOS DE TECNOLOGIA-GESTION DE APLICACIONES-INSTALAR DESINSTALAR APLICACION</t>
        </is>
      </c>
      <c r="H43" s="2" t="inlineStr">
        <is>
          <t>Telefono</t>
        </is>
      </c>
      <c r="I43" s="2" t="inlineStr">
        <is>
          <t>Baja</t>
        </is>
      </c>
      <c r="J43" s="5">
        <v>46233.316666666666</v>
      </c>
      <c r="K43" s="2" t="inlineStr">
        <is>
          <t>MICHAEL STEVEN FRAILE GOMEZ</t>
        </is>
      </c>
      <c r="L43" s="2" t="inlineStr">
        <is>
          <t>SPT ZONA NORTE</t>
        </is>
      </c>
      <c r="M43" s="2" t="inlineStr">
        <is>
          <t>SERVICIOS DE TI</t>
        </is>
      </c>
      <c r="N43" s="2" t="inlineStr">
        <is>
          <t>SWPR136 SAP</t>
        </is>
      </c>
      <c r="O43" s="2" t="inlineStr">
        <is>
          <t>SALUD</t>
        </is>
      </c>
      <c r="P43" s="2"/>
      <c r="Q43" s="2" t="inlineStr">
        <is>
          <t>IDGEXM7CDZJ5AAT8ZMVMT8ZMVMOSU0</t>
        </is>
      </c>
      <c r="R43" s="2" t="inlineStr">
        <is>
          <t>a) 0-4</t>
        </is>
      </c>
      <c r="S43" s="4"/>
      <c r="T43" s="2"/>
      <c r="U43" s="2" t="inlineStr">
        <is>
          <t>-</t>
        </is>
      </c>
      <c r="V43" s="2" t="inlineStr">
        <is>
          <t>04/08/2026 08:00</t>
        </is>
      </c>
    </row>
    <row r="44">
      <c r="A44" s="2" t="inlineStr">
        <is>
          <t>🟢</t>
        </is>
      </c>
      <c r="B44" s="3" t="str">
        <f>HYPERLINK("https://compensar-smartit.onbmc.com/smartit/app/#/workorder/IDGEXM7CDZJ5AAT8ZPDET8ZPDEQQVF","WO0000000314198")</f>
        <v>WO0000000314198</v>
      </c>
      <c r="C44" s="2" t="inlineStr">
        <is>
          <t>No</t>
        </is>
      </c>
      <c r="D44" s="2" t="inlineStr">
        <is>
          <t>Envio/instalación MONITOR DESKTOP DELL PRECISION 3431 activo 910500003206</t>
        </is>
      </c>
      <c r="E44" s="2" t="inlineStr">
        <is>
          <t>Asignado</t>
        </is>
      </c>
      <c r="F44" s="2" t="inlineStr">
        <is>
          <t>Usuario: ALEJANDRA FONSECA CHACON  
CC: 1233500668
Teléfono: 3145552913 
Informa: pantalla de la desktop C003206 está afectada por líneas negras que dificultan el desempeño para la usuaria
Ubicación: bloque F piso 1
Tiempo:  8:36 a. m. 23/07/2026
Impacto: 1 
Evidencias:</t>
        </is>
      </c>
      <c r="G44" s="2" t="inlineStr">
        <is>
          <t>SERVICIOS DE TECNOLOGIA-ACTIVOS FIJOS TECNOLOGIA-ADQUISICION PARTES SIN GARANTIA</t>
        </is>
      </c>
      <c r="H44" s="2" t="inlineStr">
        <is>
          <t>Web</t>
        </is>
      </c>
      <c r="I44" s="2" t="inlineStr">
        <is>
          <t>Baja</t>
        </is>
      </c>
      <c r="J44" s="5">
        <v>46233.35</v>
      </c>
      <c r="K44" s="2" t="inlineStr">
        <is>
          <t>GERLYN RENTERIA OROZCO</t>
        </is>
      </c>
      <c r="L44" s="2" t="inlineStr">
        <is>
          <t>ZONA CENTRO</t>
        </is>
      </c>
      <c r="M44" s="2" t="inlineStr">
        <is>
          <t>SERVICIOS DE TI</t>
        </is>
      </c>
      <c r="N44" s="2"/>
      <c r="O44" s="2" t="inlineStr">
        <is>
          <t>BIENESTAR Y DESARROLLO SOCIAL</t>
        </is>
      </c>
      <c r="P44" s="2"/>
      <c r="Q44" s="2" t="inlineStr">
        <is>
          <t>IDGEXM7CDZJ5AAT8ZPDET8ZPDEQQVF</t>
        </is>
      </c>
      <c r="R44" s="2" t="inlineStr">
        <is>
          <t>a) 0-4</t>
        </is>
      </c>
      <c r="S44" s="4"/>
      <c r="T44" s="2"/>
      <c r="U44" s="2" t="inlineStr">
        <is>
          <t>-</t>
        </is>
      </c>
      <c r="V44" s="2" t="inlineStr">
        <is>
          <t>31/08/2026 08:24</t>
        </is>
      </c>
    </row>
    <row r="45">
      <c r="A45" s="2" t="inlineStr">
        <is>
          <t>🟢</t>
        </is>
      </c>
      <c r="B45" s="3" t="str">
        <f>HYPERLINK("https://compensar-smartit.onbmc.com/smartit/app/#/workorder/AGGIBMZTENYZ6AT8YVTWT8YVTW5W3C","WO0000000314203")</f>
        <v>WO0000000314203</v>
      </c>
      <c r="C45" s="2" t="inlineStr">
        <is>
          <t>No</t>
        </is>
      </c>
      <c r="D45" s="2" t="inlineStr">
        <is>
          <t>Aplicación de Usuario Final</t>
        </is>
      </c>
      <c r="E45" s="2" t="inlineStr">
        <is>
          <t>Asignado</t>
        </is>
      </c>
      <c r="F45" s="2" t="inlineStr">
        <is>
          <t>Ubicación para atención del Servicio: BLOQUE G TORRE G PISO 1 GESTION DE LA INFORMACION
Número de contacto para la atención del servicio: 3118228521
Frente: CENTRO DE SERVICIOS COMPARTIDOS
Titulo: Instalación y configuración aplicativo CX
Descripción: Buen día 
Por medio de la presente, solicitamos el apoyo para realizar la instalación y configuración del aplicativo CX Index para los usuarios relacionados a continuación:
YAQUELINE ANDREA PEÑA VELASQUEZ C.C.  1022344130-ACTIVO C176813
JOHANA ANDREA SISA RUIZ C.C.  1015411324 - ACTIVO  C003369
Es importante tener en cuenta que la instalación debe realizarse tomando como referencia la configuración actualmente asignada al colaborador JUAN DAVID RAMIREZ MANRIQUE c.c. 1032447469 , de manera que los nuevos usuarios cuenten con:
Las mismas parametrizaciones.
Los accesos y configuraciones requeridas para la operación.
La misma estructura funcional que garantice la correcta ejecución de las actividades en la herramienta.
Quedo atentos a cualquier información adicional que se requiera para la ejecución de esta solicitud.
Tipo de Servicio: INSTALAR DESINSTALAR APLICACION
Aplicación: SWEX78-CX DIGITALIZADOR
</t>
        </is>
      </c>
      <c r="G45" s="2" t="inlineStr">
        <is>
          <t>SERVICIOS DE TECNOLOGIA-GESTION DE APLICACIONES-INSTALAR DESINSTALAR APLICACION</t>
        </is>
      </c>
      <c r="H45" s="2" t="inlineStr">
        <is>
          <t>Web</t>
        </is>
      </c>
      <c r="I45" s="2" t="inlineStr">
        <is>
          <t>Baja</t>
        </is>
      </c>
      <c r="J45" s="5">
        <v>46232.90902777778</v>
      </c>
      <c r="K45" s="2" t="inlineStr">
        <is>
          <t>DILAN SAMIR LOPEZ ARAUJO</t>
        </is>
      </c>
      <c r="L45" s="2" t="inlineStr">
        <is>
          <t>ZONA CENTRO</t>
        </is>
      </c>
      <c r="M45" s="2" t="inlineStr">
        <is>
          <t>SERVICIOS DE TI</t>
        </is>
      </c>
      <c r="N45" s="2"/>
      <c r="O45" s="2" t="inlineStr">
        <is>
          <t>CENTRO DE SERVICIOS COMPARTIDOS</t>
        </is>
      </c>
      <c r="P45" s="2"/>
      <c r="Q45" s="2" t="inlineStr">
        <is>
          <t>AGGIBMZTENYZ6AT8YVTWT8YVTW5W3C</t>
        </is>
      </c>
      <c r="R45" s="2" t="inlineStr">
        <is>
          <t>a) 0-4</t>
        </is>
      </c>
      <c r="S45" s="4"/>
      <c r="T45" s="2" t="inlineStr">
        <is>
          <t>CAJA DE COMPENSACION</t>
        </is>
      </c>
      <c r="U45" s="2" t="inlineStr">
        <is>
          <t>-</t>
        </is>
      </c>
      <c r="V45" s="2" t="inlineStr">
        <is>
          <t>04/08/2026 08:00</t>
        </is>
      </c>
    </row>
    <row r="46">
      <c r="A46" s="2" t="inlineStr">
        <is>
          <t>🟢</t>
        </is>
      </c>
      <c r="B46" s="3" t="str">
        <f>HYPERLINK("https://compensar-smartit.onbmc.com/smartit/app/#/workorder/AGGIBMZTENYZ6AT8ZRU5T8ZRU5WDLX","WO0000000314255")</f>
        <v>WO0000000314255</v>
      </c>
      <c r="C46" s="2" t="inlineStr">
        <is>
          <t>No</t>
        </is>
      </c>
      <c r="D46" s="2" t="inlineStr">
        <is>
          <t>Servicios Generales de Redes</t>
        </is>
      </c>
      <c r="E46" s="2" t="inlineStr">
        <is>
          <t>Asignado</t>
        </is>
      </c>
      <c r="F46" s="2" t="inlineStr">
        <is>
          <t>Ubicación para atención del Servicio: CRA 69 B TORRE B PISO 3 SALAS DE REUNIONES
Número de contacto para la atención del servicio: 3057502092
Frente: SALUD
Titulo: HABILITACION WIFI - SECRETARIA DE SALUD
Tipo de Servicio: CONFIGURAR PUNTO DE RED SG
Descripción: Buenos dias, Se encuentra el día de hoy la cohorte Materno Perinatal en auditoria con la secretaria de salud y por tal motivo se requiere a l mayor brevedad la habilitación de wifi consorcio para los funcionarios de la secretaria para que puedan realizar el proceso . están en la oficina en el horario de 8:00 a.m. a 5:00 p.m. sala Sauce Tercer piso.  los funcionarios son :  diana catalina Sanabria waldron dcsanabria@saludcapital.gov.co
Andrea Paola Villamizar ap1villamizar@saludcapital.gov.co
lady Dayana mateus ldmateus@saludcapital.com
Información Importante: SI
Adjunto: [AGGIBMZTENYZ6AT8ZRT5T8ZRT5WCHQ]
</t>
        </is>
      </c>
      <c r="G46" s="2" t="inlineStr">
        <is>
          <t>SERVICIOS DE TECNOLOGIA-REDES-CONFIGURAR PUNTO DE RED SG</t>
        </is>
      </c>
      <c r="H46" s="2" t="inlineStr">
        <is>
          <t>Web</t>
        </is>
      </c>
      <c r="I46" s="2" t="inlineStr">
        <is>
          <t>Media</t>
        </is>
      </c>
      <c r="J46" s="5">
        <v>46233.38888888889</v>
      </c>
      <c r="K46" s="2" t="inlineStr">
        <is>
          <t>JOSE ARLEY SANCHEZ COLORADO</t>
        </is>
      </c>
      <c r="L46" s="2" t="inlineStr">
        <is>
          <t>SPT CABECERA CARRERA 69</t>
        </is>
      </c>
      <c r="M46" s="2" t="inlineStr">
        <is>
          <t>SERVICIOS DE TI</t>
        </is>
      </c>
      <c r="N46" s="2"/>
      <c r="O46" s="2" t="inlineStr">
        <is>
          <t>SALUD</t>
        </is>
      </c>
      <c r="P46" s="2"/>
      <c r="Q46" s="2" t="inlineStr">
        <is>
          <t>AGGIBMZTENYZ6AT8ZRU5T8ZRU5WDLX</t>
        </is>
      </c>
      <c r="R46" s="2" t="inlineStr">
        <is>
          <t>a) 0-4</t>
        </is>
      </c>
      <c r="S46" s="4"/>
      <c r="T46" s="2" t="inlineStr">
        <is>
          <t>SALUD</t>
        </is>
      </c>
      <c r="U46" s="2" t="inlineStr">
        <is>
          <t>-</t>
        </is>
      </c>
      <c r="V46" s="2" t="inlineStr">
        <is>
          <t>03/08/2026 09:20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