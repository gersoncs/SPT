
<file path=[Content_Types].xml><?xml version="1.0" encoding="utf-8"?>
<Types xmlns="http://schemas.openxmlformats.org/package/2006/content-types">
  <Default Extension="rels" ContentType="application/vnd.openxmlformats-package.relationships+xml"/>
  <Default Extension="xml" ContentType="application/xml"/>
  <Default Extension="bmp" ContentType="image/bmp"/>
  <Default Extension="jpeg" ContentType="image/jpeg"/>
  <Default Extension="gif" ContentType="image/gif"/>
  <Default Extension="emz" ContentType="image/x-emz"/>
  <Default Extension="wmz" ContentType="image/x-wmz"/>
  <Default Extension="png" ContentType="image/png"/>
  <Default Extension="svg" ContentType="image/svg"/>
  <Default Extension="tiff" ContentType="image/tiff"/>
  <Default Extension="emf" ContentType="image/x-emf"/>
  <Default Extension="wmf" ContentType="image/x-wm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drawings/drawing9.xml" ContentType="application/vnd.openxmlformats-officedocument.drawing+xml"/>
  <Override PartName="/xl/worksheets/sheet13.xml" ContentType="application/vnd.openxmlformats-officedocument.spreadsheetml.worksheet+xml"/>
  <Override PartName="/xl/drawings/drawing10.xml" ContentType="application/vnd.openxmlformats-officedocument.drawing+xml"/>
  <Override PartName="/xl/worksheets/sheet14.xml" ContentType="application/vnd.openxmlformats-officedocument.spreadsheetml.worksheet+xml"/>
  <Override PartName="/xl/drawings/drawing11.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1-Untitled" sheetId="2" r:id="rId4"/>
    <sheet name="2-Incidentes" sheetId="3" r:id="rId5"/>
    <sheet name="3-INC - Asignados" sheetId="4" r:id="rId6"/>
    <sheet name="4-INC - Vencimiento SLA" sheetId="5" r:id="rId7"/>
    <sheet name="5-INC - Antiguedad (días)" sheetId="6" r:id="rId8"/>
    <sheet name="6-INC - Estado" sheetId="7" r:id="rId9"/>
    <sheet name="7-INC - Resolutor Asignado" sheetId="8" r:id="rId10"/>
    <sheet name="8-INC - Grupo Asignado" sheetId="9" r:id="rId11"/>
    <sheet name="9-Ordenes de trabajo" sheetId="10" r:id="rId12"/>
    <sheet name="10-WO - Asignados" sheetId="11" r:id="rId13"/>
    <sheet name="11-WO - Vencimiento SLA" sheetId="12" r:id="rId14"/>
    <sheet name="12-WO - Antiguedad (días)" sheetId="13" r:id="rId15"/>
    <sheet name="13-WO - Estado" sheetId="14" r:id="rId16"/>
    <sheet name="14-WO - Resolutor Asignado" sheetId="15" r:id="rId17"/>
    <sheet name="15-WO - Grupo Asignado" sheetId="16" r:id="rId18"/>
    <sheet name="16-Incidentes (1)" sheetId="17" r:id="rId19"/>
    <sheet name="17-Ordenes de Trabajo" sheetId="18" r:id="rId20"/>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dd\/mm\/yyyy\ hh:mm:ss"/>
    <numFmt numFmtId="165" formatCode="dd\/mm\/yyyy\ hh:mm"/>
  </numFmts>
  <fonts count="4">
    <font>
      <sz val="11"/>
      <color theme="1"/>
      <name val="Calibri"/>
      <family val="2"/>
    </font>
    <font>
      <b val="1"/>
      <sz val="11"/>
      <color rgb="FF000000"/>
      <name val="Calibri"/>
      <family val="2"/>
    </font>
    <font>
      <sz val="11"/>
      <color/>
      <name val="Calibri"/>
      <family val="2"/>
    </font>
    <font>
      <u val="single"/>
      <sz val="11"/>
      <color rgb="FFBLUE"/>
      <name val="Calibri"/>
      <family val="2"/>
    </font>
  </fonts>
  <fills count="3">
    <fill>
      <patternFill patternType="none"/>
    </fill>
    <fill>
      <patternFill patternType="gray125"/>
    </fill>
    <fill>
      <patternFill patternType="solid">
        <fgColor rgb="FFF2F2F2"/>
      </patternFill>
    </fill>
  </fills>
  <borders count="2">
    <border>
      <left/>
      <right/>
      <top/>
      <bottom/>
      <diagonal/>
    </border>
    <border>
      <left/>
      <right/>
      <top/>
      <bottom style="thin">
        <color rgb="FF000000"/>
      </bottom>
      <diagonal/>
    </border>
  </borders>
  <cellStyleXfs count="1">
    <xf numFmtId="0" fontId="0" fillId="0" borderId="0"/>
  </cellStyleXfs>
  <cellXfs count="6">
    <xf numFmtId="0" fontId="0" fillId="0" borderId="0" xfId="0"/>
    <xf numFmtId="0" fontId="1" fillId="2" borderId="1" xfId="0" applyFont="true" applyFill="true" applyBorder="true" applyAlignment="true">
      <alignment horizontal="left" vertical="center"/>
    </xf>
    <xf numFmtId="0" fontId="2" fillId="0" borderId="0" xfId="0" applyFont="true" applyAlignment="true">
      <alignment horizontal="left" vertical="top"/>
    </xf>
    <xf numFmtId="0" fontId="3" fillId="0" borderId="0" xfId="0" applyFont="true" applyAlignment="true">
      <alignment horizontal="left" vertical="top"/>
    </xf>
    <xf numFmtId="164" fontId="2" fillId="0" borderId="0" xfId="0" applyNumberFormat="true" applyFont="true" applyAlignment="true">
      <alignment horizontal="left" vertical="top"/>
    </xf>
    <xf numFmtId="165" fontId="2" fillId="0" borderId="0" xfId="0" applyNumberFormat="true" applyFont="true" applyAlignment="true">
      <alignment horizontal="left" vertical="top"/>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 Id="rId10" Target="/xl/worksheets/sheet8.xml" Type="http://schemas.openxmlformats.org/officeDocument/2006/relationships/worksheet"></Relationship><Relationship Id="rId11" Target="/xl/worksheets/sheet9.xml" Type="http://schemas.openxmlformats.org/officeDocument/2006/relationships/worksheet"></Relationship><Relationship Id="rId12" Target="/xl/worksheets/sheet10.xml" Type="http://schemas.openxmlformats.org/officeDocument/2006/relationships/worksheet"></Relationship><Relationship Id="rId13" Target="/xl/worksheets/sheet11.xml" Type="http://schemas.openxmlformats.org/officeDocument/2006/relationships/worksheet"></Relationship><Relationship Id="rId14" Target="/xl/worksheets/sheet12.xml" Type="http://schemas.openxmlformats.org/officeDocument/2006/relationships/worksheet"></Relationship><Relationship Id="rId15" Target="/xl/worksheets/sheet13.xml" Type="http://schemas.openxmlformats.org/officeDocument/2006/relationships/worksheet"></Relationship><Relationship Id="rId16" Target="/xl/worksheets/sheet14.xml" Type="http://schemas.openxmlformats.org/officeDocument/2006/relationships/worksheet"></Relationship><Relationship Id="rId17" Target="/xl/worksheets/sheet15.xml" Type="http://schemas.openxmlformats.org/officeDocument/2006/relationships/worksheet"></Relationship><Relationship Id="rId18" Target="/xl/worksheets/sheet16.xml" Type="http://schemas.openxmlformats.org/officeDocument/2006/relationships/worksheet"></Relationship><Relationship Id="rId19" Target="/xl/worksheets/sheet17.xml" Type="http://schemas.openxmlformats.org/officeDocument/2006/relationships/worksheet"></Relationship><Relationship Id="rId20" Target="/xl/worksheets/sheet18.xml" Type="http://schemas.openxmlformats.org/officeDocument/2006/relationships/worksheet"></Relationship></Relationships>
</file>

<file path=xl/drawings/_rels/drawing1.xml.rels><?xml version="1.0" encoding="UTF-8"?>
<Relationships xmlns="http://schemas.openxmlformats.org/package/2006/relationships"><Relationship Id="rId1" Target="../media/image1.png" Type="http://schemas.openxmlformats.org/officeDocument/2006/relationships/image"></Relationship></Relationships>
</file>

<file path=xl/drawings/_rels/drawing2.xml.rels><?xml version="1.0" encoding="UTF-8"?>
<Relationships xmlns="http://schemas.openxmlformats.org/package/2006/relationships"><Relationship Id="rId1" Target="../media/image2.png" Type="http://schemas.openxmlformats.org/officeDocument/2006/relationships/image"></Relationship></Relationships>
</file>

<file path=xl/drawings/_rels/drawing3.xml.rels><?xml version="1.0" encoding="UTF-8"?>
<Relationships xmlns="http://schemas.openxmlformats.org/package/2006/relationships"><Relationship Id="rId1" Target="../media/image3.png" Type="http://schemas.openxmlformats.org/officeDocument/2006/relationships/image"></Relationship></Relationships>
</file>

<file path=xl/drawings/_rels/drawing4.xml.rels><?xml version="1.0" encoding="UTF-8"?>
<Relationships xmlns="http://schemas.openxmlformats.org/package/2006/relationships"><Relationship Id="rId1" Target="../media/image4.png" Type="http://schemas.openxmlformats.org/officeDocument/2006/relationships/image"></Relationship></Relationships>
</file>

<file path=xl/drawings/_rels/drawing5.xml.rels><?xml version="1.0" encoding="UTF-8"?>
<Relationships xmlns="http://schemas.openxmlformats.org/package/2006/relationships"><Relationship Id="rId1" Target="../media/image5.png" Type="http://schemas.openxmlformats.org/officeDocument/2006/relationships/image"></Relationship></Relationships>
</file>

<file path=xl/drawings/_rels/drawing6.xml.rels><?xml version="1.0" encoding="UTF-8"?>
<Relationships xmlns="http://schemas.openxmlformats.org/package/2006/relationships"><Relationship Id="rId1" Target="../media/image6.png" Type="http://schemas.openxmlformats.org/officeDocument/2006/relationships/image"></Relationship></Relationships>
</file>

<file path=xl/drawings/_rels/drawing7.xml.rels><?xml version="1.0" encoding="UTF-8"?>
<Relationships xmlns="http://schemas.openxmlformats.org/package/2006/relationships"><Relationship Id="rId1" Target="../media/image7.png" Type="http://schemas.openxmlformats.org/officeDocument/2006/relationships/image"></Relationship></Relationships>
</file>

<file path=xl/drawings/_rels/drawing8.xml.rels><?xml version="1.0" encoding="UTF-8"?>
<Relationships xmlns="http://schemas.openxmlformats.org/package/2006/relationships"><Relationship Id="rId1" Target="../media/image8.png" Type="http://schemas.openxmlformats.org/officeDocument/2006/relationships/image"></Relationship></Relationships>
</file>

<file path=xl/drawings/_rels/drawing9.xml.rels><?xml version="1.0" encoding="UTF-8"?>
<Relationships xmlns="http://schemas.openxmlformats.org/package/2006/relationships"><Relationship Id="rId1" Target="../media/image9.png" Type="http://schemas.openxmlformats.org/officeDocument/2006/relationships/image"></Relationship></Relationships>
</file>

<file path=xl/drawings/_rels/drawing10.xml.rels><?xml version="1.0" encoding="UTF-8"?>
<Relationships xmlns="http://schemas.openxmlformats.org/package/2006/relationships"><Relationship Id="rId1" Target="../media/image10.png" Type="http://schemas.openxmlformats.org/officeDocument/2006/relationships/image"></Relationship></Relationships>
</file>

<file path=xl/drawings/_rels/drawing11.xml.rels><?xml version="1.0" encoding="UTF-8"?>
<Relationships xmlns="http://schemas.openxmlformats.org/package/2006/relationships"><Relationship Id="rId1" Target="../media/image11.png" Type="http://schemas.openxmlformats.org/officeDocument/2006/relationships/image"></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3.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4.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5.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6.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7.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8.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9.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10.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drawings/drawing1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15</xdr:col>
      <xdr:colOff>381000</xdr:colOff>
      <xdr:row>25</xdr:row>
      <xdr:rowOff>0</xdr:rowOff>
    </xdr:to>
    <xdr:pic>
      <xdr:nvPicPr>
        <xdr:cNvPr id="2" name="Picture 2" descr=""/>
        <xdr:cNvPicPr>
          <a:picLocks noChangeAspect="false"/>
        </xdr:cNvPicPr>
      </xdr:nvPicPr>
      <xdr:blipFill>
        <a:blip xmlns:r="http://schemas.openxmlformats.org/officeDocument/2006/relationships" r:embed="rId1"/>
        <a:stretch>
          <a:fillRect/>
        </a:stretch>
      </xdr:blipFill>
      <xdr:spPr>
        <a:xfrm>
          <a:off x="0" y="0"/>
          <a:ext cx="0" cy="0"/>
        </a:xfrm>
        <a:prstGeom prst="rect"/>
        <a:ln/>
      </xdr:spPr>
    </xdr:pic>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_rels/sheet4.xml.rels><?xml version="1.0" encoding="UTF-8"?>
<Relationships xmlns="http://schemas.openxmlformats.org/package/2006/relationships"><Relationship Id="rId1" Target="../drawings/drawing3.xml" Type="http://schemas.openxmlformats.org/officeDocument/2006/relationships/drawing"></Relationship></Relationships>
</file>

<file path=xl/worksheets/_rels/sheet5.xml.rels><?xml version="1.0" encoding="UTF-8"?>
<Relationships xmlns="http://schemas.openxmlformats.org/package/2006/relationships"><Relationship Id="rId1" Target="../drawings/drawing4.xml" Type="http://schemas.openxmlformats.org/officeDocument/2006/relationships/drawing"></Relationship></Relationships>
</file>

<file path=xl/worksheets/_rels/sheet6.xml.rels><?xml version="1.0" encoding="UTF-8"?>
<Relationships xmlns="http://schemas.openxmlformats.org/package/2006/relationships"><Relationship Id="rId1" Target="../drawings/drawing5.xml" Type="http://schemas.openxmlformats.org/officeDocument/2006/relationships/drawing"></Relationship></Relationships>
</file>

<file path=xl/worksheets/_rels/sheet7.xml.rels><?xml version="1.0" encoding="UTF-8"?>
<Relationships xmlns="http://schemas.openxmlformats.org/package/2006/relationships"><Relationship Id="rId1" Target="../drawings/drawing6.xml" Type="http://schemas.openxmlformats.org/officeDocument/2006/relationships/drawing"></Relationship></Relationships>
</file>

<file path=xl/worksheets/_rels/sheet10.xml.rels><?xml version="1.0" encoding="UTF-8"?>
<Relationships xmlns="http://schemas.openxmlformats.org/package/2006/relationships"><Relationship Id="rId1" Target="../drawings/drawing7.xml" Type="http://schemas.openxmlformats.org/officeDocument/2006/relationships/drawing"></Relationship></Relationships>
</file>

<file path=xl/worksheets/_rels/sheet11.xml.rels><?xml version="1.0" encoding="UTF-8"?>
<Relationships xmlns="http://schemas.openxmlformats.org/package/2006/relationships"><Relationship Id="rId1" Target="../drawings/drawing8.xml" Type="http://schemas.openxmlformats.org/officeDocument/2006/relationships/drawing"></Relationship></Relationships>
</file>

<file path=xl/worksheets/_rels/sheet12.xml.rels><?xml version="1.0" encoding="UTF-8"?>
<Relationships xmlns="http://schemas.openxmlformats.org/package/2006/relationships"><Relationship Id="rId1" Target="../drawings/drawing9.xml" Type="http://schemas.openxmlformats.org/officeDocument/2006/relationships/drawing"></Relationship></Relationships>
</file>

<file path=xl/worksheets/_rels/sheet13.xml.rels><?xml version="1.0" encoding="UTF-8"?>
<Relationships xmlns="http://schemas.openxmlformats.org/package/2006/relationships"><Relationship Id="rId1" Target="../drawings/drawing10.xml" Type="http://schemas.openxmlformats.org/officeDocument/2006/relationships/drawing"></Relationship></Relationships>
</file>

<file path=xl/worksheets/_rels/sheet14.xml.rels><?xml version="1.0" encoding="UTF-8"?>
<Relationships xmlns="http://schemas.openxmlformats.org/package/2006/relationships"><Relationship Id="rId1" Target="../drawings/drawing11.xml" Type="http://schemas.openxmlformats.org/officeDocument/2006/relationships/drawing"></Relationship></Relationships>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tabSelected="true" workbookViewId="0"/>
  </sheetViews>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5.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7.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Nombre Resolutor</t>
        </is>
      </c>
      <c r="B1" s="1" t="inlineStr">
        <is>
          <t>Cantidad</t>
        </is>
      </c>
    </row>
    <row r="2">
      <c r="A2" s="2" t="inlineStr">
        <is>
          <t>CARLOS IVAN CUCANCHON CARRILLO</t>
        </is>
      </c>
      <c r="B2" s="2">
        <v>11</v>
      </c>
    </row>
    <row r="3">
      <c r="A3" s="2" t="inlineStr">
        <is>
          <t>ANDERSON JULIAN RATIVA RAMIREZ</t>
        </is>
      </c>
      <c r="B3" s="2">
        <v>9</v>
      </c>
    </row>
    <row r="4">
      <c r="A4" s="2" t="inlineStr">
        <is>
          <t>DANIEL ALEJANDRO BORDA MESTIZO</t>
        </is>
      </c>
      <c r="B4" s="2">
        <v>5</v>
      </c>
    </row>
    <row r="5">
      <c r="A5" s="2" t="inlineStr">
        <is>
          <t>DILAN SAMIR LOPEZ ARAUJO</t>
        </is>
      </c>
      <c r="B5" s="2">
        <v>5</v>
      </c>
    </row>
    <row r="6">
      <c r="A6" s="2" t="inlineStr">
        <is>
          <t>KEVIN ALEXIS GARCIA GUARACA</t>
        </is>
      </c>
      <c r="B6" s="2">
        <v>5</v>
      </c>
    </row>
    <row r="7">
      <c r="A7" s="2" t="inlineStr">
        <is>
          <t>NICK STEVE TRIANA LOPEZ</t>
        </is>
      </c>
      <c r="B7" s="2">
        <v>5</v>
      </c>
    </row>
    <row r="8">
      <c r="A8" s="2" t="inlineStr">
        <is>
          <t>SANTIAGO PERDOMO ACERO</t>
        </is>
      </c>
      <c r="B8" s="2">
        <v>5</v>
      </c>
    </row>
    <row r="9">
      <c r="A9" s="2" t="inlineStr">
        <is>
          <t>MICHAEL STEVEN FRAILE GOMEZ</t>
        </is>
      </c>
      <c r="B9" s="2">
        <v>4</v>
      </c>
    </row>
    <row r="10">
      <c r="A10" s="2" t="inlineStr">
        <is>
          <t>EDWIN ALEXIS PATIÑO TEJEDOR</t>
        </is>
      </c>
      <c r="B10" s="2">
        <v>3</v>
      </c>
    </row>
    <row r="11">
      <c r="A11" s="2" t="inlineStr">
        <is>
          <t>JUAN CAMILO RINCON BLANCO</t>
        </is>
      </c>
      <c r="B11" s="2">
        <v>3</v>
      </c>
    </row>
    <row r="12">
      <c r="A12" s="2" t="inlineStr">
        <is>
          <t>FABIAN JESSID PASTRANA AGUIRRE</t>
        </is>
      </c>
      <c r="B12" s="2">
        <v>2</v>
      </c>
    </row>
    <row r="13">
      <c r="A13" s="2" t="inlineStr">
        <is>
          <t>JEISON ANDRES REYES ROMERO</t>
        </is>
      </c>
      <c r="B13" s="2">
        <v>2</v>
      </c>
    </row>
    <row r="14">
      <c r="A14" s="2" t="inlineStr">
        <is>
          <t>MARIA FERNANDA PEREIRA BUENO</t>
        </is>
      </c>
      <c r="B14" s="2">
        <v>2</v>
      </c>
    </row>
    <row r="15">
      <c r="A15" s="2" t="inlineStr">
        <is>
          <t>ALEX STEVEN RODRIGUEZ CARDENAS</t>
        </is>
      </c>
      <c r="B15" s="2">
        <v>1</v>
      </c>
    </row>
    <row r="16">
      <c r="A16" s="2" t="inlineStr">
        <is>
          <t>CAMILO ANDRES GONZALEZ NARVAEZ</t>
        </is>
      </c>
      <c r="B16" s="2">
        <v>1</v>
      </c>
    </row>
    <row r="17">
      <c r="A17" s="2" t="inlineStr">
        <is>
          <t>DANIEL CAMILO BARRERO GALINDO</t>
        </is>
      </c>
      <c r="B17" s="2">
        <v>1</v>
      </c>
    </row>
    <row r="18">
      <c r="A18" s="2" t="inlineStr">
        <is>
          <t>DAVID ESTEBAN DIAZ LLANOS</t>
        </is>
      </c>
      <c r="B18" s="2">
        <v>1</v>
      </c>
    </row>
    <row r="19">
      <c r="A19" s="2" t="inlineStr">
        <is>
          <t>GERLYN RENTERIA OROZCO</t>
        </is>
      </c>
      <c r="B19" s="2">
        <v>1</v>
      </c>
    </row>
    <row r="20">
      <c r="A20" s="2" t="inlineStr">
        <is>
          <t>JOSE ARLEY SANCHEZ COLORADO</t>
        </is>
      </c>
      <c r="B20" s="2">
        <v>1</v>
      </c>
    </row>
    <row r="21">
      <c r="A21" s="2" t="inlineStr">
        <is>
          <t>JUAN DAVID GIL SALAMANCA</t>
        </is>
      </c>
      <c r="B21" s="2">
        <v>1</v>
      </c>
    </row>
    <row r="22">
      <c r="A22" s="2" t="inlineStr">
        <is>
          <t>JULIAN HUMBERTO MOLINA BERNAL</t>
        </is>
      </c>
      <c r="B22" s="2">
        <v>1</v>
      </c>
    </row>
    <row r="23">
      <c r="A23" s="2" t="inlineStr">
        <is>
          <t>KAREN JULIETH ALVARADO ALVAREZ</t>
        </is>
      </c>
      <c r="B23" s="2">
        <v>1</v>
      </c>
    </row>
    <row r="24">
      <c r="A24" s="2" t="inlineStr">
        <is>
          <t>MIGUEL JOSE NUÑEZ MARQUEZ</t>
        </is>
      </c>
      <c r="B24" s="2">
        <v>1</v>
      </c>
    </row>
  </sheetData>
</worksheet>
</file>

<file path=xl/worksheets/sheet9.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Grupo</t>
        </is>
      </c>
      <c r="B1" s="1" t="inlineStr">
        <is>
          <t>Cantidad</t>
        </is>
      </c>
    </row>
    <row r="2">
      <c r="A2" s="2" t="inlineStr">
        <is>
          <t>ZONA CENTRO</t>
        </is>
      </c>
      <c r="B2" s="2">
        <v>29</v>
      </c>
    </row>
    <row r="3">
      <c r="A3" s="2" t="inlineStr">
        <is>
          <t>SPT CABECERA CALLE 94</t>
        </is>
      </c>
      <c r="B3" s="2">
        <v>11</v>
      </c>
    </row>
    <row r="4">
      <c r="A4" s="2" t="inlineStr">
        <is>
          <t>ZONA OCCIDENTE</t>
        </is>
      </c>
      <c r="B4" s="2">
        <v>4</v>
      </c>
    </row>
    <row r="5">
      <c r="A5" s="2" t="inlineStr">
        <is>
          <t>SPT ESCRITORIO VIRTUAL</t>
        </is>
      </c>
      <c r="B5" s="2">
        <v>3</v>
      </c>
    </row>
    <row r="6">
      <c r="A6" s="2" t="inlineStr">
        <is>
          <t>SPT ZONA NORTE</t>
        </is>
      </c>
      <c r="B6" s="2">
        <v>3</v>
      </c>
    </row>
    <row r="7">
      <c r="A7" s="2" t="inlineStr">
        <is>
          <t>ZONA NORTE</t>
        </is>
      </c>
      <c r="B7" s="2">
        <v>3</v>
      </c>
    </row>
    <row r="8">
      <c r="A8" s="2" t="inlineStr">
        <is>
          <t>SPT CABECERA CALLE 26</t>
        </is>
      </c>
      <c r="B8" s="2">
        <v>2</v>
      </c>
    </row>
    <row r="9">
      <c r="A9" s="2" t="inlineStr">
        <is>
          <t>SPT CABECERA CALLE 42</t>
        </is>
      </c>
      <c r="B9" s="2">
        <v>2</v>
      </c>
    </row>
    <row r="10">
      <c r="A10" s="2" t="inlineStr">
        <is>
          <t>SPT ZONA CENTRO</t>
        </is>
      </c>
      <c r="B10" s="2">
        <v>2</v>
      </c>
    </row>
    <row r="11">
      <c r="A11" s="2" t="inlineStr">
        <is>
          <t>SPT ZONA SURORIENTE</t>
        </is>
      </c>
      <c r="B11" s="2">
        <v>2</v>
      </c>
    </row>
    <row r="12">
      <c r="A12" s="2" t="inlineStr">
        <is>
          <t>ZONA ORIENTE</t>
        </is>
      </c>
      <c r="B12" s="2">
        <v>2</v>
      </c>
    </row>
    <row r="13">
      <c r="A13" s="2" t="inlineStr">
        <is>
          <t>ZONA SURORIENTE</t>
        </is>
      </c>
      <c r="B13" s="2">
        <v>2</v>
      </c>
    </row>
    <row r="14">
      <c r="A14" s="2" t="inlineStr">
        <is>
          <t>SPT CABECERA 1 MAYO</t>
        </is>
      </c>
      <c r="B14" s="2">
        <v>1</v>
      </c>
    </row>
    <row r="15">
      <c r="A15" s="2" t="inlineStr">
        <is>
          <t>SPT CABECERA CARRERA 60</t>
        </is>
      </c>
      <c r="B15" s="2">
        <v>1</v>
      </c>
    </row>
    <row r="16">
      <c r="A16" s="2" t="inlineStr">
        <is>
          <t>SPT CABECERA CARRERA 69</t>
        </is>
      </c>
      <c r="B16" s="2">
        <v>1</v>
      </c>
    </row>
    <row r="17">
      <c r="A17" s="2" t="inlineStr">
        <is>
          <t>SPT CABECERA CENTRO MAYOR</t>
        </is>
      </c>
      <c r="B17" s="2">
        <v>1</v>
      </c>
    </row>
    <row r="18">
      <c r="A18" s="2" t="inlineStr">
        <is>
          <t>SPT ZONA OCCIDENTE</t>
        </is>
      </c>
      <c r="B18" s="2">
        <v>1</v>
      </c>
    </row>
    <row r="19">
      <c r="A19" s="2" t="inlineStr">
        <is>
          <t>SPT ZONA ORIENTE</t>
        </is>
      </c>
      <c r="B19" s="2">
        <v>1</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drawing r:id="rId1"/>
</worksheet>
</file>

<file path=xl/worksheets/sheet1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Nombre Resolutor</t>
        </is>
      </c>
      <c r="B1" s="1" t="inlineStr">
        <is>
          <t>Cantidad</t>
        </is>
      </c>
    </row>
    <row r="2">
      <c r="A2" s="2" t="inlineStr">
        <is>
          <t>ALEX STEVEN RODRIGUEZ CARDENAS</t>
        </is>
      </c>
      <c r="B2" s="2">
        <v>2</v>
      </c>
    </row>
    <row r="3">
      <c r="A3" s="2" t="inlineStr">
        <is>
          <t>ALLISSON MAURICIO MORENO PABON</t>
        </is>
      </c>
      <c r="B3" s="2">
        <v>1</v>
      </c>
    </row>
    <row r="4">
      <c r="A4" s="2" t="inlineStr">
        <is>
          <t>ANDERSON JULIAN RATIVA RAMIREZ</t>
        </is>
      </c>
      <c r="B4" s="2">
        <v>4</v>
      </c>
    </row>
    <row r="5">
      <c r="A5" s="2" t="inlineStr">
        <is>
          <t>CAMILO ANDRES GONZALEZ NARVAEZ</t>
        </is>
      </c>
      <c r="B5" s="2">
        <v>1</v>
      </c>
    </row>
    <row r="6">
      <c r="A6" s="2" t="inlineStr">
        <is>
          <t>CARLOS IVAN CUCANCHON CARRILLO</t>
        </is>
      </c>
      <c r="B6" s="2">
        <v>1</v>
      </c>
    </row>
    <row r="7">
      <c r="A7" s="2" t="inlineStr">
        <is>
          <t>CESAR ANDRES QUESADA VIQUE</t>
        </is>
      </c>
      <c r="B7" s="2">
        <v>1</v>
      </c>
    </row>
    <row r="8">
      <c r="A8" s="2" t="inlineStr">
        <is>
          <t>DANIEL ALEJANDRO BORDA MESTIZO</t>
        </is>
      </c>
      <c r="B8" s="2">
        <v>1</v>
      </c>
    </row>
    <row r="9">
      <c r="A9" s="2" t="inlineStr">
        <is>
          <t>DILAN SAMIR LOPEZ ARAUJO</t>
        </is>
      </c>
      <c r="B9" s="2">
        <v>4</v>
      </c>
    </row>
    <row r="10">
      <c r="A10" s="2" t="inlineStr">
        <is>
          <t>EDWIN ALEXIS PATIÑO TEJEDOR</t>
        </is>
      </c>
      <c r="B10" s="2">
        <v>2</v>
      </c>
    </row>
    <row r="11">
      <c r="A11" s="2" t="inlineStr">
        <is>
          <t>FABIAN JESSID PASTRANA AGUIRRE</t>
        </is>
      </c>
      <c r="B11" s="2">
        <v>1</v>
      </c>
    </row>
    <row r="12">
      <c r="A12" s="2" t="inlineStr">
        <is>
          <t>GERLYN RENTERIA OROZCO</t>
        </is>
      </c>
      <c r="B12" s="2">
        <v>11</v>
      </c>
    </row>
    <row r="13">
      <c r="A13" s="2" t="inlineStr">
        <is>
          <t>IVAN FELIPE GARCIA MANRIQUE</t>
        </is>
      </c>
      <c r="B13" s="2">
        <v>4</v>
      </c>
    </row>
    <row r="14">
      <c r="A14" s="2" t="inlineStr">
        <is>
          <t>JOSE ARLEY SANCHEZ COLORADO</t>
        </is>
      </c>
      <c r="B14" s="2">
        <v>1</v>
      </c>
    </row>
    <row r="15">
      <c r="A15" s="2" t="inlineStr">
        <is>
          <t>JUAN CAMILO RINCON BLANCO</t>
        </is>
      </c>
      <c r="B15" s="2">
        <v>4</v>
      </c>
    </row>
    <row r="16">
      <c r="A16" s="2" t="inlineStr">
        <is>
          <t>JULIAN HUMBERTO MOLINA BERNAL</t>
        </is>
      </c>
      <c r="B16" s="2">
        <v>2</v>
      </c>
    </row>
    <row r="17">
      <c r="A17" s="2" t="inlineStr">
        <is>
          <t>KEVIN ALEXIS GARCIA GUARACA</t>
        </is>
      </c>
      <c r="B17" s="2">
        <v>19</v>
      </c>
    </row>
    <row r="18">
      <c r="A18" s="2" t="inlineStr">
        <is>
          <t>MARIA FERNANDA PEREIRA BUENO</t>
        </is>
      </c>
      <c r="B18" s="2">
        <v>1</v>
      </c>
    </row>
    <row r="19">
      <c r="A19" s="2" t="inlineStr">
        <is>
          <t>MICHAEL STEVEN FRAILE GOMEZ</t>
        </is>
      </c>
      <c r="B19" s="2">
        <v>6</v>
      </c>
    </row>
    <row r="20">
      <c r="A20" s="2" t="inlineStr">
        <is>
          <t>MIGUEL JOSE NUÑEZ MARQUEZ</t>
        </is>
      </c>
      <c r="B20" s="2">
        <v>3</v>
      </c>
    </row>
    <row r="21">
      <c r="A21" s="2" t="inlineStr">
        <is>
          <t>NICK STEVE TRIANA LOPEZ</t>
        </is>
      </c>
      <c r="B21" s="2">
        <v>3</v>
      </c>
    </row>
    <row r="22">
      <c r="A22" s="2" t="inlineStr">
        <is>
          <t>SEBASTIAN JERONIMO DELGADO CASTRO</t>
        </is>
      </c>
      <c r="B22" s="2">
        <v>1</v>
      </c>
    </row>
  </sheetData>
</worksheet>
</file>

<file path=xl/worksheets/sheet1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sheetData>
    <row r="1">
      <c r="A1" s="1" t="inlineStr">
        <is>
          <t>Grupo</t>
        </is>
      </c>
      <c r="B1" s="1" t="inlineStr">
        <is>
          <t>Cantidad</t>
        </is>
      </c>
    </row>
    <row r="2">
      <c r="A2" s="2" t="inlineStr">
        <is>
          <t>SPT CABECERA 1 MAYO</t>
        </is>
      </c>
      <c r="B2" s="2">
        <v>2</v>
      </c>
    </row>
    <row r="3">
      <c r="A3" s="2" t="inlineStr">
        <is>
          <t>SPT CABECERA CALLE 26</t>
        </is>
      </c>
      <c r="B3" s="2">
        <v>1</v>
      </c>
    </row>
    <row r="4">
      <c r="A4" s="2" t="inlineStr">
        <is>
          <t>SPT CABECERA CALLE 94</t>
        </is>
      </c>
      <c r="B4" s="2">
        <v>1</v>
      </c>
    </row>
    <row r="5">
      <c r="A5" s="2" t="inlineStr">
        <is>
          <t>SPT CABECERA CARRERA 69</t>
        </is>
      </c>
      <c r="B5" s="2">
        <v>6</v>
      </c>
    </row>
    <row r="6">
      <c r="A6" s="2" t="inlineStr">
        <is>
          <t>SPT ESCRITORIO VIRTUAL</t>
        </is>
      </c>
      <c r="B6" s="2">
        <v>3</v>
      </c>
    </row>
    <row r="7">
      <c r="A7" s="2" t="inlineStr">
        <is>
          <t>SPT REGIONALES</t>
        </is>
      </c>
      <c r="B7" s="2">
        <v>1</v>
      </c>
    </row>
    <row r="8">
      <c r="A8" s="2" t="inlineStr">
        <is>
          <t>SPT ZONA CENTRO</t>
        </is>
      </c>
      <c r="B8" s="2">
        <v>2</v>
      </c>
    </row>
    <row r="9">
      <c r="A9" s="2" t="inlineStr">
        <is>
          <t>SPT ZONA NORTE</t>
        </is>
      </c>
      <c r="B9" s="2">
        <v>1</v>
      </c>
    </row>
    <row r="10">
      <c r="A10" s="2" t="inlineStr">
        <is>
          <t>SPT ZONA SURORIENTE</t>
        </is>
      </c>
      <c r="B10" s="2">
        <v>2</v>
      </c>
    </row>
    <row r="11">
      <c r="A11" s="2" t="inlineStr">
        <is>
          <t>ZONA CENTRO</t>
        </is>
      </c>
      <c r="B11" s="2">
        <v>45</v>
      </c>
    </row>
    <row r="12">
      <c r="A12" s="2" t="inlineStr">
        <is>
          <t>ZONA NORTE</t>
        </is>
      </c>
      <c r="B12" s="2">
        <v>2</v>
      </c>
    </row>
    <row r="13">
      <c r="A13" s="2" t="inlineStr">
        <is>
          <t>ZONA OCCIDENTE</t>
        </is>
      </c>
      <c r="B13" s="2">
        <v>3</v>
      </c>
    </row>
    <row r="14">
      <c r="A14" s="2" t="inlineStr">
        <is>
          <t>ZONA SURORIENTE</t>
        </is>
      </c>
      <c r="B14" s="2">
        <v>4</v>
      </c>
    </row>
  </sheetData>
</worksheet>
</file>

<file path=xl/worksheets/sheet17.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4.16" customWidth="1"/>
    <col min="2" max="2" width="41.536" customWidth="1"/>
    <col min="3" max="3" width="28.791999999999998" customWidth="1"/>
    <col min="5" max="5" width="21.003999999999998" customWidth="1"/>
  </cols>
  <sheetData>
    <row r="1">
      <c r="A1" s="1" t="inlineStr">
        <is>
          <t>🚦</t>
        </is>
      </c>
      <c r="B1" s="1" t="inlineStr">
        <is>
          <t>No Caso</t>
        </is>
      </c>
      <c r="C1" s="1" t="inlineStr">
        <is>
          <t>SLA Vencido</t>
        </is>
      </c>
      <c r="D1" s="1" t="inlineStr">
        <is>
          <t>Resumen</t>
        </is>
      </c>
      <c r="E1" s="1" t="inlineStr">
        <is>
          <t>Estado</t>
        </is>
      </c>
      <c r="F1" s="1" t="inlineStr">
        <is>
          <t>Descripción</t>
        </is>
      </c>
      <c r="G1" s="1" t="inlineStr">
        <is>
          <t>Categoria</t>
        </is>
      </c>
      <c r="H1" s="1" t="inlineStr">
        <is>
          <t>Fuente Reportada</t>
        </is>
      </c>
      <c r="I1" s="1" t="inlineStr">
        <is>
          <t>Prioridad</t>
        </is>
      </c>
      <c r="J1" s="1" t="inlineStr">
        <is>
          <t>Fecha de creación</t>
        </is>
      </c>
      <c r="K1" s="1" t="inlineStr">
        <is>
          <t>Asignado a</t>
        </is>
      </c>
      <c r="L1" s="1" t="inlineStr">
        <is>
          <t>Grupo</t>
        </is>
      </c>
      <c r="M1" s="1" t="inlineStr">
        <is>
          <t>Organización de Soporte</t>
        </is>
      </c>
      <c r="N1" s="1" t="inlineStr">
        <is>
          <t>CI</t>
        </is>
      </c>
      <c r="O1" s="1" t="inlineStr">
        <is>
          <t>Frente de Negocio</t>
        </is>
      </c>
      <c r="P1" s="1" t="inlineStr">
        <is>
          <t>Causa</t>
        </is>
      </c>
      <c r="Q1" s="1" t="inlineStr">
        <is>
          <t>InstanceId</t>
        </is>
      </c>
      <c r="R1" s="1" t="inlineStr">
        <is>
          <t>Antiguedad</t>
        </is>
      </c>
      <c r="S1" s="1" t="inlineStr">
        <is>
          <t>Fecha de Reactivación Pendiente</t>
        </is>
      </c>
      <c r="T1" s="1" t="inlineStr">
        <is>
          <t>Tiempo Incumplimiento previsto</t>
        </is>
      </c>
    </row>
    <row r="2">
      <c r="A2" s="2" t="inlineStr">
        <is>
          <t>🔴</t>
        </is>
      </c>
      <c r="B2" s="3" t="str">
        <f>HYPERLINK("https://compensar-smartit.onbmc.com/smartit/app/#/incident/IDGGSWY0I24JCAT7T48GT7T48GAF6X","INC000000150832")</f>
        <v>INC000000150832</v>
      </c>
      <c r="C2" s="2" t="inlineStr">
        <is>
          <t>Si</t>
        </is>
      </c>
      <c r="D2" s="2" t="inlineStr">
        <is>
          <t>ERROR EN EL APLICATIVO SAP AL MOMENTO DE CONSULTAR HISTORIAL CLICNICA DE PACIENTE</t>
        </is>
      </c>
      <c r="E2" s="2" t="inlineStr">
        <is>
          <t>En curso</t>
        </is>
      </c>
      <c r="F2" s="2" t="inlineStr">
        <is>
          <t>Usuaria: Angela Maria Sanchez Guevara
Informa: Usuaria reporta error en el aplicativo SAP al momento de consultar historial clínica en SAP y después de dar clic en aceptar el error las casa completamente del aplicativo SAP.
Teléfono: 3134905241
Ubicación: FACATATIVA PISO 3 CONSULTORIO 1
Tiempo: 11:44 07/07/2026
Impacto:  SAP
Evidencias: Se adjunta evidencia para cierre de caso</t>
        </is>
      </c>
      <c r="G2" s="2" t="inlineStr">
        <is>
          <t>SERVICIOS DE TECNOLOGIA-APLICACIONES DE NEGOCIO-ERROR FUNCIONALIDAD APLICACION</t>
        </is>
      </c>
      <c r="H2" s="2" t="inlineStr">
        <is>
          <t>Telefono</t>
        </is>
      </c>
      <c r="I2" s="2" t="inlineStr">
        <is>
          <t>Baja</t>
        </is>
      </c>
      <c r="J2" s="4">
        <v>46210.51008101852</v>
      </c>
      <c r="K2" s="2" t="inlineStr">
        <is>
          <t>NICK STEVE TRIANA LOPEZ</t>
        </is>
      </c>
      <c r="L2" s="2" t="inlineStr">
        <is>
          <t>SPT ZONA OCCIDENTE</t>
        </is>
      </c>
      <c r="M2" s="2" t="inlineStr">
        <is>
          <t>SERVICIOS DE TI</t>
        </is>
      </c>
      <c r="N2" s="2" t="inlineStr">
        <is>
          <t>SWPR136 SAP</t>
        </is>
      </c>
      <c r="O2" s="2" t="inlineStr">
        <is>
          <t>SALUD</t>
        </is>
      </c>
      <c r="P2" s="2"/>
      <c r="Q2" s="2" t="inlineStr">
        <is>
          <t>IDGGSWY0I24JCAT7T48GT7T48GAF6X</t>
        </is>
      </c>
      <c r="R2" s="2" t="inlineStr">
        <is>
          <t>c) 11-30</t>
        </is>
      </c>
      <c r="S2" s="2" t="inlineStr">
        <is>
          <t>-</t>
        </is>
      </c>
      <c r="T2" s="2" t="inlineStr">
        <is>
          <t>-</t>
        </is>
      </c>
    </row>
    <row r="3">
      <c r="A3" s="2" t="inlineStr">
        <is>
          <t>🟢</t>
        </is>
      </c>
      <c r="B3" s="3" t="str">
        <f>HYPERLINK("https://compensar-smartit.onbmc.com/smartit/app/#/incident/IDGH043EBA7IUAT7VMI1T7VMI1K5VU","INC000000151204")</f>
        <v>INC000000151204</v>
      </c>
      <c r="C3" s="2" t="inlineStr">
        <is>
          <t>No</t>
        </is>
      </c>
      <c r="D3" s="2" t="inlineStr">
        <is>
          <t>DESCARTES DE PRIMER NIVEL SEDE CHIA SAN ROQUE</t>
        </is>
      </c>
      <c r="E3" s="2" t="inlineStr">
        <is>
          <t>Pendiente</t>
        </is>
      </c>
      <c r="F3" s="2" t="inlineStr">
        <is>
          <t>Usuario: (Leonardo Abello) - NOC Network Operations Center
Informa: Usuario solicita descartes de primer nivel para la sede de CHIA SAN ROQUE.
Cedula: 1049619446
Celular: 6018418844
Ubicación: CHIA SAN ROQUE
Numero de activo del equipo AP-CHIA-SR-04 S/N: Q2LD-58UZ-4Z4R
Impacto: RED</t>
        </is>
      </c>
      <c r="G3" s="2" t="inlineStr">
        <is>
          <t>SERVICIOS DE TECNOLOGIA-REDES-FALLA CLIENTE RED INALAMBRICA</t>
        </is>
      </c>
      <c r="H3" s="2" t="inlineStr">
        <is>
          <t>Chat</t>
        </is>
      </c>
      <c r="I3" s="2" t="inlineStr">
        <is>
          <t>Baja</t>
        </is>
      </c>
      <c r="J3" s="4">
        <v>46211.706342592595</v>
      </c>
      <c r="K3" s="2" t="inlineStr">
        <is>
          <t>MIGUEL JOSE NUÑEZ MARQUEZ</t>
        </is>
      </c>
      <c r="L3" s="2" t="inlineStr">
        <is>
          <t>SPT ZONA NORTE</t>
        </is>
      </c>
      <c r="M3" s="2" t="inlineStr">
        <is>
          <t>SERVICIOS DE TI</t>
        </is>
      </c>
      <c r="N3" s="2" t="inlineStr">
        <is>
          <t>INTERNET</t>
        </is>
      </c>
      <c r="O3" s="2" t="inlineStr">
        <is>
          <t>SALUD</t>
        </is>
      </c>
      <c r="P3" s="2"/>
      <c r="Q3" s="2" t="inlineStr">
        <is>
          <t>IDGH043EBA7IUAT7VMI1T7VMI1K5VU</t>
        </is>
      </c>
      <c r="R3" s="2" t="inlineStr">
        <is>
          <t>c) 11-30</t>
        </is>
      </c>
      <c r="S3" s="2" t="inlineStr">
        <is>
          <t>-</t>
        </is>
      </c>
      <c r="T3" s="2" t="inlineStr">
        <is>
          <t>-</t>
        </is>
      </c>
    </row>
    <row r="4">
      <c r="A4" s="2" t="inlineStr">
        <is>
          <t>🟢</t>
        </is>
      </c>
      <c r="B4" s="3" t="str">
        <f>HYPERLINK("https://compensar-smartit.onbmc.com/smartit/app/#/incident/AGGIBMZTENYZ6AT8GP5DT8GP5D3HT5","INC000000152155")</f>
        <v>INC000000152155</v>
      </c>
      <c r="C4" s="2" t="inlineStr">
        <is>
          <t>No</t>
        </is>
      </c>
      <c r="D4" s="2" t="inlineStr">
        <is>
          <t>Falla en Equipo</t>
        </is>
      </c>
      <c r="E4" s="2" t="inlineStr">
        <is>
          <t>Pendiente</t>
        </is>
      </c>
      <c r="F4" s="2" t="inlineStr">
        <is>
          <t>Ubicación para atención del Servicio: AGENCIA COLOCACION EMPLEO BOSA PISO 1 ADMINISTRACION
Número de contacto para la atención del servicio: 3114619355
Frente: BIENESTAR Y DESARROLLO SOCIAL
Falla: DAÑO FISICO
¿Cual es el dispositivo que presenta la falla?: [CABLES, CARGADOR/ADAPTADOR CORRIENTE]
Nombre de equipo (inventario o placa): P009413
Descripción del incidente o falla: &lt;AGENTE VIRTUAL&gt; el cargador del equipo portátil presenta fallas no carga
</t>
        </is>
      </c>
      <c r="G4" s="2" t="inlineStr">
        <is>
          <t>SERVICIOS DE TECNOLOGIA-SOPORTE EQUIPOS DE COMPUTO-FALLA</t>
        </is>
      </c>
      <c r="H4" s="2" t="inlineStr">
        <is>
          <t>ChatBot</t>
        </is>
      </c>
      <c r="I4" s="2" t="inlineStr">
        <is>
          <t>Baja</t>
        </is>
      </c>
      <c r="J4" s="4">
        <v>46217.69295138889</v>
      </c>
      <c r="K4" s="2" t="inlineStr">
        <is>
          <t>ANDERSON JULIAN RATIVA RAMIREZ</t>
        </is>
      </c>
      <c r="L4" s="2" t="inlineStr">
        <is>
          <t>SPT ZONA ORIENTE</t>
        </is>
      </c>
      <c r="M4" s="2" t="inlineStr">
        <is>
          <t>SERVICIOS DE TI</t>
        </is>
      </c>
      <c r="N4" s="2"/>
      <c r="O4" s="2" t="inlineStr">
        <is>
          <t>BIENESTAR Y DESARROLLO SOCIAL</t>
        </is>
      </c>
      <c r="P4" s="2"/>
      <c r="Q4" s="2" t="inlineStr">
        <is>
          <t>AGGIBMZTENYZ6AT8GP5DT8GP5D3HT5</t>
        </is>
      </c>
      <c r="R4" s="2" t="inlineStr">
        <is>
          <t>c) 11-30</t>
        </is>
      </c>
      <c r="S4" s="2" t="inlineStr">
        <is>
          <t>28/07/2026 18:00:00</t>
        </is>
      </c>
      <c r="T4" s="2" t="inlineStr">
        <is>
          <t>-</t>
        </is>
      </c>
    </row>
    <row r="5">
      <c r="A5" s="2" t="inlineStr">
        <is>
          <t>🔴</t>
        </is>
      </c>
      <c r="B5" s="3" t="str">
        <f>HYPERLINK("https://compensar-smartit.onbmc.com/smartit/app/#/incident/IDGIBMZTENYZ6AT81NUAT81NUANBBG","INC000000152668")</f>
        <v>INC000000152668</v>
      </c>
      <c r="C5" s="2" t="inlineStr">
        <is>
          <t>Si</t>
        </is>
      </c>
      <c r="D5" s="2" t="inlineStr">
        <is>
          <t>Poco espacio en disco del equipo de cómputo</t>
        </is>
      </c>
      <c r="E5" s="2" t="inlineStr">
        <is>
          <t>En curso</t>
        </is>
      </c>
      <c r="F5" s="2" t="inlineStr">
        <is>
          <t>Usuario: La usuaria JULIETH KATHERIN GUTIERREZ BALLEN se comunica con la mesa de servicio para notificar que su equipo presenta poco espacio de almacenamiento.
Teléfono: 3212066976
Informa: La usuaria informa que su equipo presenta poco espacio en disco. Se realiza validación remota y se evidencia que el disco de almacenamiento se encuentra al límite de su capacidad. Se ejecuta el borrado de archivos temporales; sin embargo, se confirma que el disco continúa en su tope de capacidad.
Ubicación: ubate, Cundinamarca, piso 1, módulo 1.
Tiempo: 8:34 a. m. 17/07/2026.
Impacto: 1.
Placa de equipo: C005616.
Evidencias:
1. Se realiza conexión remota para validar la novedad reportada.
2. Se verifica el estado del almacenamiento del equipo.
3. Se evidencia que el disco se encuentra al límite de su capacidad.
4. Se realiza el borrado de archivos temporales.
5. Se confirma que el disco continúa en su tope de capacidad.
6. Se documenta la novedad para continuar con la gestión correspondiente.</t>
        </is>
      </c>
      <c r="G5" s="2" t="inlineStr">
        <is>
          <t>SERVICIOS DE TECNOLOGIA-SOPORTE EQUIPOS DE COMPUTO-LENTITUD</t>
        </is>
      </c>
      <c r="H5" s="2" t="inlineStr">
        <is>
          <t>Telefono</t>
        </is>
      </c>
      <c r="I5" s="2" t="inlineStr">
        <is>
          <t>Baja</t>
        </is>
      </c>
      <c r="J5" s="4">
        <v>46220.37252314815</v>
      </c>
      <c r="K5" s="2" t="inlineStr">
        <is>
          <t>DANIEL CAMILO BARRERO GALINDO</t>
        </is>
      </c>
      <c r="L5" s="2" t="inlineStr">
        <is>
          <t>SPT CABECERA CALLE 26</t>
        </is>
      </c>
      <c r="M5" s="2" t="inlineStr">
        <is>
          <t>SERVICIOS DE TI</t>
        </is>
      </c>
      <c r="N5" s="2" t="inlineStr">
        <is>
          <t>C005616</t>
        </is>
      </c>
      <c r="O5" s="2" t="inlineStr">
        <is>
          <t>SALUD</t>
        </is>
      </c>
      <c r="P5" s="2"/>
      <c r="Q5" s="2" t="inlineStr">
        <is>
          <t>IDGIBMZTENYZ6AT81NUAT81NUANBBG</t>
        </is>
      </c>
      <c r="R5" s="2" t="inlineStr">
        <is>
          <t>c) 11-30</t>
        </is>
      </c>
      <c r="S5" s="2" t="inlineStr">
        <is>
          <t>-</t>
        </is>
      </c>
      <c r="T5" s="2" t="inlineStr">
        <is>
          <t>-</t>
        </is>
      </c>
    </row>
    <row r="6">
      <c r="A6" s="2" t="inlineStr">
        <is>
          <t>🟢</t>
        </is>
      </c>
      <c r="B6" s="3" t="str">
        <f>HYPERLINK("https://compensar-smartit.onbmc.com/smartit/app/#/incident/AGGGSWY0I24JCAT89P1WT89P1WE03H","INC000000153267")</f>
        <v>INC000000153267</v>
      </c>
      <c r="C6" s="2" t="inlineStr">
        <is>
          <t>No</t>
        </is>
      </c>
      <c r="D6" s="2" t="inlineStr">
        <is>
          <t>Falla en Equipo</t>
        </is>
      </c>
      <c r="E6" s="2" t="inlineStr">
        <is>
          <t>Pendiente</t>
        </is>
      </c>
      <c r="F6" s="2" t="inlineStr">
        <is>
          <t>Ubicación para atención del Servicio: CSDE TORRE D PISO 0 VIVIENDA
Número de contacto para la atención del servicio: 3214698687
Frente: BIENESTAR Y DESARROLLO SOCIAL
Falla: NO ENCIENDE/NO FUNCIONA
¿Cual es el dispositivo que presenta la falla?: [PORTATIL/PC]
Nombre de equipo (inventario o placa): 17042
Descripción del incidente o falla: buenas tardes, amablemente solicito actualización de windows para el equipo no. Activo 17042 si es posible mañana 22 de julio en horas de la tarde, agradezco comunicarse al cel 3214698687 Natalia Sandoval, garcias
</t>
        </is>
      </c>
      <c r="G6" s="2" t="inlineStr">
        <is>
          <t>SERVICIOS DE TECNOLOGIA-SOPORTE EQUIPOS DE COMPUTO-FALLA</t>
        </is>
      </c>
      <c r="H6" s="2" t="inlineStr">
        <is>
          <t>Portal - Web</t>
        </is>
      </c>
      <c r="I6" s="2" t="inlineStr">
        <is>
          <t>Baja</t>
        </is>
      </c>
      <c r="J6" s="4">
        <v>46224.71162037037</v>
      </c>
      <c r="K6" s="2" t="inlineStr">
        <is>
          <t>ANDERSON JULIAN RATIVA RAMIREZ</t>
        </is>
      </c>
      <c r="L6" s="2" t="inlineStr">
        <is>
          <t>ZONA CENTRO</t>
        </is>
      </c>
      <c r="M6" s="2" t="inlineStr">
        <is>
          <t>SERVICIOS DE TI</t>
        </is>
      </c>
      <c r="N6" s="2" t="inlineStr">
        <is>
          <t>P017042</t>
        </is>
      </c>
      <c r="O6" s="2" t="inlineStr">
        <is>
          <t>BIENESTAR Y DESARROLLO SOCIAL</t>
        </is>
      </c>
      <c r="P6" s="2"/>
      <c r="Q6" s="2" t="inlineStr">
        <is>
          <t>AGGGSWY0I24JCAT89P1WT89P1WE03H</t>
        </is>
      </c>
      <c r="R6" s="2" t="inlineStr">
        <is>
          <t>b) 5-10</t>
        </is>
      </c>
      <c r="S6" s="2" t="inlineStr">
        <is>
          <t>29/07/2026 18:00:00</t>
        </is>
      </c>
      <c r="T6" s="2" t="inlineStr">
        <is>
          <t>-</t>
        </is>
      </c>
    </row>
    <row r="7">
      <c r="A7" s="2" t="inlineStr">
        <is>
          <t>🟢</t>
        </is>
      </c>
      <c r="B7" s="3" t="str">
        <f>HYPERLINK("https://compensar-smartit.onbmc.com/smartit/app/#/incident/IDGGSWY0I24JCAT8MMHGT8MMHGAUIB","INC000000153589")</f>
        <v>INC000000153589</v>
      </c>
      <c r="C7" s="2" t="inlineStr">
        <is>
          <t>No</t>
        </is>
      </c>
      <c r="D7" s="2" t="inlineStr">
        <is>
          <t>Unidad de CD – validación de bandejas</t>
        </is>
      </c>
      <c r="E7" s="2" t="inlineStr">
        <is>
          <t>Pendiente</t>
        </is>
      </c>
      <c r="F7" s="2" t="inlineStr">
        <is>
          <t>Usuario: Judy Jasbleidy Cifuentes Alonso
Descripción: La usuaria solicita validación de las bandejas de la unidad de CD para confirmar correcto funcionamiento y aptitud operativa.
Ubicación: Sede KR 60 Piso 12 – Administración Consultorios 13-14-15
Fecha y hora: 23/07/2026 – 06:49 a. m.
Impacto: Usuario afectado: 1
Placa del equipo: N/A
Evidencias/Procedimiento realizado:  
1.Se realizan validaciones iniciales y se registran evidencias del caso para el área encargada.
2.Se escala el caso al área correspondiente para su respectiva gestión.</t>
        </is>
      </c>
      <c r="G7" s="2" t="inlineStr">
        <is>
          <t>SERVICIOS DE TECNOLOGIA-SOPORTE EQUIPOS DE COMPUTO-FALLA</t>
        </is>
      </c>
      <c r="H7" s="2" t="inlineStr">
        <is>
          <t>Telefono</t>
        </is>
      </c>
      <c r="I7" s="2" t="inlineStr">
        <is>
          <t>Baja</t>
        </is>
      </c>
      <c r="J7" s="4">
        <v>46226.28989583333</v>
      </c>
      <c r="K7" s="2" t="inlineStr">
        <is>
          <t>DANIEL ALEJANDRO BORDA MESTIZO</t>
        </is>
      </c>
      <c r="L7" s="2" t="inlineStr">
        <is>
          <t>SPT CABECERA CARRERA 60</t>
        </is>
      </c>
      <c r="M7" s="2" t="inlineStr">
        <is>
          <t>SERVICIOS DE TI</t>
        </is>
      </c>
      <c r="N7" s="2" t="inlineStr">
        <is>
          <t>SISTEMA OPERATIVO WINDOWS</t>
        </is>
      </c>
      <c r="O7" s="2" t="inlineStr">
        <is>
          <t>SALUD</t>
        </is>
      </c>
      <c r="P7" s="2"/>
      <c r="Q7" s="2" t="inlineStr">
        <is>
          <t>IDGGSWY0I24JCAT8MMHGT8MMHGAUIB</t>
        </is>
      </c>
      <c r="R7" s="2" t="inlineStr">
        <is>
          <t>b) 5-10</t>
        </is>
      </c>
      <c r="S7" s="2" t="inlineStr">
        <is>
          <t>28/07/2026 21:00:00</t>
        </is>
      </c>
      <c r="T7" s="2" t="inlineStr">
        <is>
          <t>-</t>
        </is>
      </c>
    </row>
    <row r="8">
      <c r="A8" s="2" t="inlineStr">
        <is>
          <t>🟢</t>
        </is>
      </c>
      <c r="B8" s="3" t="str">
        <f>HYPERLINK("https://compensar-smartit.onbmc.com/smartit/app/#/incident/IDGIBMZTENYZ6AT8LN37T8LN37JQBV","INC000000153607")</f>
        <v>INC000000153607</v>
      </c>
      <c r="C8" s="2" t="inlineStr">
        <is>
          <t>No</t>
        </is>
      </c>
      <c r="D8" s="2" t="inlineStr">
        <is>
          <t>Falla  ACTIVO compensar  007549 no permite acceder a teams</t>
        </is>
      </c>
      <c r="E8" s="2" t="inlineStr">
        <is>
          <t>Pendiente</t>
        </is>
      </c>
      <c r="F8" s="2" t="inlineStr">
        <is>
          <t>Usuario:DIANA CAROLINA OVALLE CARABALLO
Informa: Falla  ACTIVO compensar  007549 no permite acceder a teams
NOTA: 1.Se realiza limpieza de archivos temporales, se ejecutan comandos GPUPDATE /FORCE para forzar políticas se desinstala y instala nuevamente el teams se reinicia la maquina. persiste la novedad
Ubicación: TELETRABAJO
Tiempo: 22-07-2026- 6:19pm
Impacto: 1         
Evidencias: NO</t>
        </is>
      </c>
      <c r="G8" s="2" t="inlineStr">
        <is>
          <t>SERVICIOS DE TECNOLOGIA-PLATAFORMA TI-MICROSOFT 365 (TEAMS – EXCHANGE – ONE DRIVE)</t>
        </is>
      </c>
      <c r="H8" s="2" t="inlineStr">
        <is>
          <t>Telefono</t>
        </is>
      </c>
      <c r="I8" s="2" t="inlineStr">
        <is>
          <t>Baja</t>
        </is>
      </c>
      <c r="J8" s="4">
        <v>46225.76300925926</v>
      </c>
      <c r="K8" s="2" t="inlineStr">
        <is>
          <t>MICHAEL STEVEN FRAILE GOMEZ</t>
        </is>
      </c>
      <c r="L8" s="2" t="inlineStr">
        <is>
          <t>ZONA SURORIENTE</t>
        </is>
      </c>
      <c r="M8" s="2" t="inlineStr">
        <is>
          <t>SERVICIOS DE TI</t>
        </is>
      </c>
      <c r="N8" s="2" t="inlineStr">
        <is>
          <t>OFFICE 365</t>
        </is>
      </c>
      <c r="O8" s="2" t="inlineStr">
        <is>
          <t>SALUD</t>
        </is>
      </c>
      <c r="P8" s="2"/>
      <c r="Q8" s="2" t="inlineStr">
        <is>
          <t>IDGIBMZTENYZ6AT8LN37T8LN37JQBV</t>
        </is>
      </c>
      <c r="R8" s="2" t="inlineStr">
        <is>
          <t>b) 5-10</t>
        </is>
      </c>
      <c r="S8" s="2" t="inlineStr">
        <is>
          <t>28/07/2026 20:00:00</t>
        </is>
      </c>
      <c r="T8" s="2" t="inlineStr">
        <is>
          <t>-</t>
        </is>
      </c>
    </row>
    <row r="9">
      <c r="A9" s="2" t="inlineStr">
        <is>
          <t>🟢</t>
        </is>
      </c>
      <c r="B9" s="3" t="str">
        <f>HYPERLINK("https://compensar-smartit.onbmc.com/smartit/app/#/incident/AGGGSWY0I24JCAT8MUZRT8MUZR1X0O","INC000000153727")</f>
        <v>INC000000153727</v>
      </c>
      <c r="C9" s="2" t="inlineStr">
        <is>
          <t>No</t>
        </is>
      </c>
      <c r="D9" s="2" t="inlineStr">
        <is>
          <t>Falla en Equipo</t>
        </is>
      </c>
      <c r="E9" s="2" t="inlineStr">
        <is>
          <t>Pendiente</t>
        </is>
      </c>
      <c r="F9" s="2" t="inlineStr">
        <is>
          <t>Ubicación para atención del Servicio: HOSPITAL UNIVERSITARIO SAN RAFAEL COMPENSAR
Número de contacto para la atención del servicio: 3118964071
Frente: SALUD
Falla: DAÑO FISICO
¿Cual es el dispositivo que presenta la falla?: [OTRO]
Nombre de equipo (inventario o placa): 15280000607
Descripción del incidente o falla: Buenos dias agradezco su ayuda con la revision del equipo de escritorio ubicado en clinica san rafael area administrativa laboratorio clinico piso 1 ya que el equipo al parecer no tiene red compensar, este equipo venia funcionando normalmente pero de un dia para otro ya no podemos conectarnos contacto zully 3118964071
</t>
        </is>
      </c>
      <c r="G9" s="2" t="inlineStr">
        <is>
          <t>SERVICIOS DE TECNOLOGIA-SOPORTE EQUIPOS DE COMPUTO-FALLA</t>
        </is>
      </c>
      <c r="H9" s="2" t="inlineStr">
        <is>
          <t>Portal - Web</t>
        </is>
      </c>
      <c r="I9" s="2" t="inlineStr">
        <is>
          <t>Baja</t>
        </is>
      </c>
      <c r="J9" s="4">
        <v>46226.4165625</v>
      </c>
      <c r="K9" s="2" t="inlineStr">
        <is>
          <t>MICHAEL STEVEN FRAILE GOMEZ</t>
        </is>
      </c>
      <c r="L9" s="2" t="inlineStr">
        <is>
          <t>SPT ZONA SURORIENTE</t>
        </is>
      </c>
      <c r="M9" s="2" t="inlineStr">
        <is>
          <t>SERVICIOS DE TI</t>
        </is>
      </c>
      <c r="N9" s="2"/>
      <c r="O9" s="2" t="inlineStr">
        <is>
          <t>SALUD</t>
        </is>
      </c>
      <c r="P9" s="2"/>
      <c r="Q9" s="2" t="inlineStr">
        <is>
          <t>AGGGSWY0I24JCAT8MUZRT8MUZR1X0O</t>
        </is>
      </c>
      <c r="R9" s="2" t="inlineStr">
        <is>
          <t>b) 5-10</t>
        </is>
      </c>
      <c r="S9" s="2" t="inlineStr">
        <is>
          <t>28/07/2026 17:00:00</t>
        </is>
      </c>
      <c r="T9" s="2" t="inlineStr">
        <is>
          <t>-</t>
        </is>
      </c>
    </row>
    <row r="10">
      <c r="A10" s="2" t="inlineStr">
        <is>
          <t>🟢</t>
        </is>
      </c>
      <c r="B10" s="3" t="str">
        <f>HYPERLINK("https://compensar-smartit.onbmc.com/smartit/app/#/incident/AGGGSWY0I24JCAT8MW5FT8MW5F3S2L","INC000000153733")</f>
        <v>INC000000153733</v>
      </c>
      <c r="C10" s="2" t="inlineStr">
        <is>
          <t>No</t>
        </is>
      </c>
      <c r="D10" s="2" t="inlineStr">
        <is>
          <t>Fallas de Aplicaciones</t>
        </is>
      </c>
      <c r="E10" s="2" t="inlineStr">
        <is>
          <t>Pendiente</t>
        </is>
      </c>
      <c r="F10" s="2" t="inlineStr">
        <is>
          <t>Ubicación para atención del Servicio: BLOQUE F TORRE F PISO 1 CIRCULACION
Número de contacto para la atención del servicio: 3204810607
Frente: BIENESTAR Y DESARROLLO SOCIAL
Aplicación Afectada: OFFICE 365
Numero de Usuarios Afectados: 1
Fecha y hora en que se presenta el incidente:: 2026-07-01T16:53:00.000Z
Proceso al que pertenece (Sigla – Nombre): Recursos
¿En qué sección de la aplicación ocurre el Error?: [OPCIÓN]
¿Es Recurrente el Error?: NO
El error es: PROCESO BLOQUEANTE
¿Bajo qué casos particulares se presenta el error?: Agradecemos de su amable apoyo contactar a la usuaria Edilberto Manuel Viola Miranda - 1067844561 cel 3204810607, por capacidad llena en su correo y del backup. Por favor contactar cuanto antes ya que no le permite recibir correos y esto afecta sus labores diarias. 
Contactar:
23 de julio 2026 de 11:00am a 5:00pm urgente
Escriba detalladamente el error donde clarifique el flujo paso a paso de cómo se presentó: Bandeja de correo y backup lleno no le permite recibir correos
</t>
        </is>
      </c>
      <c r="G10" s="2" t="inlineStr">
        <is>
          <t>SERVICIOS DE TECNOLOGIA-GESTION DE APLICACIONES-FALLA</t>
        </is>
      </c>
      <c r="H10" s="2" t="inlineStr">
        <is>
          <t>Portal - Web</t>
        </is>
      </c>
      <c r="I10" s="2" t="inlineStr">
        <is>
          <t>Baja</t>
        </is>
      </c>
      <c r="J10" s="4">
        <v>46226.43797453704</v>
      </c>
      <c r="K10" s="2" t="inlineStr">
        <is>
          <t>ANDERSON JULIAN RATIVA RAMIREZ</t>
        </is>
      </c>
      <c r="L10" s="2" t="inlineStr">
        <is>
          <t>ZONA CENTRO</t>
        </is>
      </c>
      <c r="M10" s="2" t="inlineStr">
        <is>
          <t>SERVICIOS DE TI</t>
        </is>
      </c>
      <c r="N10" s="2"/>
      <c r="O10" s="2" t="inlineStr">
        <is>
          <t>BIENESTAR Y DESARROLLO SOCIAL</t>
        </is>
      </c>
      <c r="P10" s="2"/>
      <c r="Q10" s="2" t="inlineStr">
        <is>
          <t>AGGGSWY0I24JCAT8MW5FT8MW5F3S2L</t>
        </is>
      </c>
      <c r="R10" s="2" t="inlineStr">
        <is>
          <t>a) 0-4</t>
        </is>
      </c>
      <c r="S10" s="2" t="inlineStr">
        <is>
          <t>28/07/2026 18:00:00</t>
        </is>
      </c>
      <c r="T10" s="2" t="inlineStr">
        <is>
          <t>-</t>
        </is>
      </c>
    </row>
    <row r="11">
      <c r="A11" s="2" t="inlineStr">
        <is>
          <t>🟢</t>
        </is>
      </c>
      <c r="B11" s="3" t="str">
        <f>HYPERLINK("https://compensar-smartit.onbmc.com/smartit/app/#/incident/IDGIBMZTENYZ6AT8N4N7T8N4N752GO","INC000000153802")</f>
        <v>INC000000153802</v>
      </c>
      <c r="C11" s="2" t="inlineStr">
        <is>
          <t>No</t>
        </is>
      </c>
      <c r="D11" s="2" t="inlineStr">
        <is>
          <t>Falla en el panel táctil (touchpad) del portátil</t>
        </is>
      </c>
      <c r="E11" s="2" t="inlineStr">
        <is>
          <t>Pendiente</t>
        </is>
      </c>
      <c r="F11" s="2" t="inlineStr">
        <is>
          <t>Usuario: La usuaria MANDY AMAYA BORRERO se comunica con la mesa de servicio para notificar que el panel táctil (touchpad) del portátil no está funcionando correctamente.
Informa: La usuaria informa que el touchpad del portátil perdió la funcionalidad. Indica que no responde el clic derecho y que el clic izquierdo tampoco funciona correctamente. La usuaria manifiesta que estará en la sede Av. 68 el martes a las 2:00 p. m. para continuar con la validación de la novedad.
Ubicación: Movilidad. La usuaria indica que el martes estará en la sede Av. 68 a las 2:00 p. m.
Tiempo: 8:35 a. m. 23/07/2026.
Impacto: No especificada.
Placa de equipo: P009479.
Evidencias:
1. Se registra la novedad reportada por la usuaria.
2. Se documenta que el panel táctil del portátil no responde correctamente a los clics derecho e izquierdo.
3. Se registra que la usuaria estará disponible en la sede Av. 68 el martes a las 2:00 p. m. para continuar con la validación del equipo.</t>
        </is>
      </c>
      <c r="G11" s="2" t="inlineStr">
        <is>
          <t>SERVICIOS DE TECNOLOGIA-SOPORTE EQUIPOS DE COMPUTO-FALLA</t>
        </is>
      </c>
      <c r="H11" s="2" t="inlineStr">
        <is>
          <t>Telefono</t>
        </is>
      </c>
      <c r="I11" s="2" t="inlineStr">
        <is>
          <t>Baja</t>
        </is>
      </c>
      <c r="J11" s="4">
        <v>46226.71586805556</v>
      </c>
      <c r="K11" s="2" t="inlineStr">
        <is>
          <t>KEVIN ALEXIS GARCIA GUARACA</t>
        </is>
      </c>
      <c r="L11" s="2" t="inlineStr">
        <is>
          <t>ZONA CENTRO</t>
        </is>
      </c>
      <c r="M11" s="2" t="inlineStr">
        <is>
          <t>SERVICIOS DE TI</t>
        </is>
      </c>
      <c r="N11" s="2" t="inlineStr">
        <is>
          <t>P009479</t>
        </is>
      </c>
      <c r="O11" s="2" t="inlineStr">
        <is>
          <t>CENTRO DE SERVICIOS COMPARTIDOS</t>
        </is>
      </c>
      <c r="P11" s="2"/>
      <c r="Q11" s="2" t="inlineStr">
        <is>
          <t>IDGIBMZTENYZ6AT8N4N7T8N4N752GO</t>
        </is>
      </c>
      <c r="R11" s="2" t="inlineStr">
        <is>
          <t>a) 0-4</t>
        </is>
      </c>
      <c r="S11" s="2" t="inlineStr">
        <is>
          <t>28/07/2026 18:00:00</t>
        </is>
      </c>
      <c r="T11" s="2" t="inlineStr">
        <is>
          <t>-</t>
        </is>
      </c>
    </row>
    <row r="12">
      <c r="A12" s="2" t="inlineStr">
        <is>
          <t>🟢</t>
        </is>
      </c>
      <c r="B12" s="3" t="str">
        <f>HYPERLINK("https://compensar-smartit.onbmc.com/smartit/app/#/incident/IDGIBMZTENYZ6AT8NTXJT8NTXJNPV7","INC000000153811")</f>
        <v>INC000000153811</v>
      </c>
      <c r="C12" s="2" t="inlineStr">
        <is>
          <t>No</t>
        </is>
      </c>
      <c r="D12" s="2" t="inlineStr">
        <is>
          <t>Equipo no inicia</t>
        </is>
      </c>
      <c r="E12" s="2" t="inlineStr">
        <is>
          <t>Pendiente</t>
        </is>
      </c>
      <c r="F12" s="2" t="inlineStr">
        <is>
          <t>Usuario: Ruth Merizalde
Informa: Equipo no inicia no toma carga 
Ubicación: casa/movilidad
Tiempo: 22
Impacto: 1
Evidencias: Se intenta des energizar el equipo retirando todas las conexiones y presionando el botón de encendido, se prueba un cargador adicional (de móvil), pero no toma, se prueba en los dos puertos tipo C pero no reconoce carga 
Usuario confirma que no puede desplazarse a sede por novedad de salud calle 72A # 91A - 37</t>
        </is>
      </c>
      <c r="G12" s="2" t="inlineStr">
        <is>
          <t>SERVICIOS DE TECNOLOGIA-SOPORTE EQUIPOS DE COMPUTO-FALLA</t>
        </is>
      </c>
      <c r="H12" s="2" t="inlineStr">
        <is>
          <t>Telefono</t>
        </is>
      </c>
      <c r="I12" s="2" t="inlineStr">
        <is>
          <t>Baja</t>
        </is>
      </c>
      <c r="J12" s="4">
        <v>46226.95077546296</v>
      </c>
      <c r="K12" s="2" t="inlineStr">
        <is>
          <t>DILAN SAMIR LOPEZ ARAUJO</t>
        </is>
      </c>
      <c r="L12" s="2" t="inlineStr">
        <is>
          <t>ZONA CENTRO</t>
        </is>
      </c>
      <c r="M12" s="2" t="inlineStr">
        <is>
          <t>SERVICIOS DE TI</t>
        </is>
      </c>
      <c r="N12" s="2" t="inlineStr">
        <is>
          <t>P017170</t>
        </is>
      </c>
      <c r="O12" s="2" t="inlineStr">
        <is>
          <t>BIENESTAR Y DESARROLLO SOCIAL</t>
        </is>
      </c>
      <c r="P12" s="2"/>
      <c r="Q12" s="2" t="inlineStr">
        <is>
          <t>IDGIBMZTENYZ6AT8NTXJT8NTXJNPV7</t>
        </is>
      </c>
      <c r="R12" s="2" t="inlineStr">
        <is>
          <t>a) 0-4</t>
        </is>
      </c>
      <c r="S12" s="2" t="inlineStr">
        <is>
          <t>28/07/2026 17:00:00</t>
        </is>
      </c>
      <c r="T12" s="2" t="inlineStr">
        <is>
          <t>-</t>
        </is>
      </c>
    </row>
    <row r="13">
      <c r="A13" s="2" t="inlineStr">
        <is>
          <t>🟢</t>
        </is>
      </c>
      <c r="B13" s="3" t="str">
        <f>HYPERLINK("https://compensar-smartit.onbmc.com/smartit/app/#/incident/IDGIBMZTENYZ6AT8OQ1JT8OQ1JFU6X","INC000000153858")</f>
        <v>INC000000153858</v>
      </c>
      <c r="C13" s="2" t="inlineStr">
        <is>
          <t>No</t>
        </is>
      </c>
      <c r="D13" s="2" t="inlineStr">
        <is>
          <t>Equipo lento y con inconvenientes de inicio</t>
        </is>
      </c>
      <c r="E13" s="2" t="inlineStr">
        <is>
          <t>En curso</t>
        </is>
      </c>
      <c r="F13" s="2" t="inlineStr">
        <is>
          <t>Usuario: Jessica Elena Rodriguez Castillo
Teléfono: 3118637368
CC: 1000215028
Informa: La usuaria se comunica con la Mesa de Servicio indicando que el equipo presenta lentitud y que posteriormente se apagó. Al intentar iniciar nuevamente, el equipo permanece en proceso de actualización y no le permite ingresar.
Ubicación: Movilidad
Tiempo: 6:29 a. m. 24/07/2026
Evidencias:
1. Se validó el inconveniente reportado con el funcionamiento e inicio del equipo.
2. La usuaria informó que el equipo se apagó y permanece en proceso de actualización.
3. Se confirmó que la usuaria no ha podido ingresar al equipo.
4. Se escaló el caso para la respectiva validación.</t>
        </is>
      </c>
      <c r="G13" s="2" t="inlineStr">
        <is>
          <t>SERVICIOS DE TECNOLOGIA-SOPORTE EQUIPOS DE COMPUTO-FALLA</t>
        </is>
      </c>
      <c r="H13" s="2" t="inlineStr">
        <is>
          <t>Telefono</t>
        </is>
      </c>
      <c r="I13" s="2" t="inlineStr">
        <is>
          <t>Baja</t>
        </is>
      </c>
      <c r="J13" s="4">
        <v>46227.42790509259</v>
      </c>
      <c r="K13" s="2" t="inlineStr">
        <is>
          <t>JUAN CAMILO RINCON BLANCO</t>
        </is>
      </c>
      <c r="L13" s="2" t="inlineStr">
        <is>
          <t>ZONA CENTRO</t>
        </is>
      </c>
      <c r="M13" s="2" t="inlineStr">
        <is>
          <t>SERVICIOS DE TI</t>
        </is>
      </c>
      <c r="N13" s="2"/>
      <c r="O13" s="2" t="inlineStr">
        <is>
          <t>BIENESTAR Y DESARROLLO SOCIAL</t>
        </is>
      </c>
      <c r="P13" s="2"/>
      <c r="Q13" s="2" t="inlineStr">
        <is>
          <t>IDGIBMZTENYZ6AT8OQ1JT8OQ1JFU6X</t>
        </is>
      </c>
      <c r="R13" s="2" t="inlineStr">
        <is>
          <t>a) 0-4</t>
        </is>
      </c>
      <c r="S13" s="2" t="inlineStr">
        <is>
          <t>-</t>
        </is>
      </c>
      <c r="T13" s="2" t="inlineStr">
        <is>
          <t>29/07/2026 06:14:52</t>
        </is>
      </c>
    </row>
    <row r="14">
      <c r="A14" s="2" t="inlineStr">
        <is>
          <t>🟢</t>
        </is>
      </c>
      <c r="B14" s="3" t="str">
        <f>HYPERLINK("https://compensar-smartit.onbmc.com/smartit/app/#/incident/IDGIBMZTENYZ6AT8PFDKT8PFDKQ259","INC000000153897")</f>
        <v>INC000000153897</v>
      </c>
      <c r="C14" s="2" t="inlineStr">
        <is>
          <t>No</t>
        </is>
      </c>
      <c r="D14" s="2" t="inlineStr">
        <is>
          <t>Falla  Equipo memoria llena</t>
        </is>
      </c>
      <c r="E14" s="2" t="inlineStr">
        <is>
          <t>Pendiente</t>
        </is>
      </c>
      <c r="F14" s="2" t="inlineStr">
        <is>
          <t>Usuario:CARLOS ANDRES ROMERO GUEVARA
Informa:Falla memoria llena
Ubicación:empresarial
NOTA: colaborador solicita personal de sitio
Tiempo:21-07-2026  3:35pm  piso 3 bloque f
Impacto: 1         
Evidencias: NO</t>
        </is>
      </c>
      <c r="G14" s="2" t="inlineStr">
        <is>
          <t>SERVICIOS DE TECNOLOGIA-SOPORTE EQUIPOS DE COMPUTO-FALLA</t>
        </is>
      </c>
      <c r="H14" s="2" t="inlineStr">
        <is>
          <t>Telefono</t>
        </is>
      </c>
      <c r="I14" s="2" t="inlineStr">
        <is>
          <t>Baja</t>
        </is>
      </c>
      <c r="J14" s="4">
        <v>46227.648726851854</v>
      </c>
      <c r="K14" s="2" t="inlineStr">
        <is>
          <t>DANIEL ALEJANDRO BORDA MESTIZO</t>
        </is>
      </c>
      <c r="L14" s="2" t="inlineStr">
        <is>
          <t>ZONA CENTRO</t>
        </is>
      </c>
      <c r="M14" s="2" t="inlineStr">
        <is>
          <t>SERVICIOS DE TI</t>
        </is>
      </c>
      <c r="N14" s="2" t="inlineStr">
        <is>
          <t>SISTEMA OPERATIVO WINDOWS</t>
        </is>
      </c>
      <c r="O14" s="2" t="inlineStr">
        <is>
          <t>SALUD</t>
        </is>
      </c>
      <c r="P14" s="2"/>
      <c r="Q14" s="2" t="inlineStr">
        <is>
          <t>IDGIBMZTENYZ6AT8PFDKT8PFDKQ259</t>
        </is>
      </c>
      <c r="R14" s="2" t="inlineStr">
        <is>
          <t>a) 0-4</t>
        </is>
      </c>
      <c r="S14" s="2" t="inlineStr">
        <is>
          <t>30/07/2026 21:00:00</t>
        </is>
      </c>
      <c r="T14" s="2" t="inlineStr">
        <is>
          <t>-</t>
        </is>
      </c>
    </row>
    <row r="15">
      <c r="A15" s="2" t="inlineStr">
        <is>
          <t>🟢</t>
        </is>
      </c>
      <c r="B15" s="3" t="str">
        <f>HYPERLINK("https://compensar-smartit.onbmc.com/smartit/app/#/incident/IDGIBMZTENYZ6AT8PKMGT8PKMGANK0","INC000000154012")</f>
        <v>INC000000154012</v>
      </c>
      <c r="C15" s="2" t="inlineStr">
        <is>
          <t>No</t>
        </is>
      </c>
      <c r="D15" s="2" t="inlineStr">
        <is>
          <t>FALLA DE MICROSOFT ACCESS - ARCHIVO BLOQUEADO</t>
        </is>
      </c>
      <c r="E15" s="2" t="inlineStr">
        <is>
          <t>Pendiente</t>
        </is>
      </c>
      <c r="F15" s="2" t="inlineStr">
        <is>
          <t>Aplicación:MICROSOFT ACESS
Falla puntual:El usuario Edilberto Otero Oyola  se comunica reportando fallas al momento de abrir archivo access desde ruta compartida ya que aparece que el archivo se encuentra bloqueado y no permite abrirlo
Medio de Ingreso del caso: Telefonico 
Ubicación del usuario: Teletrabajo
Cantidad de usuarios afectados (en número y letras):1
¿Afectación generada por RED?:NO
¿Usa VPN?:SI 
Validación realizada en N1:Se toma remotamente el equipo y se genera borrado de temporales , actualización de políticas , validacion de antivirus , se ingresa por centro de confianza en configurarion del archivo  pero la falla persiste .</t>
        </is>
      </c>
      <c r="G15" s="2" t="inlineStr">
        <is>
          <t>SERVICIOS DE TECNOLOGIA-SOPORTE EQUIPOS DE COMPUTO-FALLA</t>
        </is>
      </c>
      <c r="H15" s="2" t="inlineStr">
        <is>
          <t>Telefono</t>
        </is>
      </c>
      <c r="I15" s="2" t="inlineStr">
        <is>
          <t>Baja</t>
        </is>
      </c>
      <c r="J15" s="4">
        <v>46227.9093287037</v>
      </c>
      <c r="K15" s="2" t="inlineStr">
        <is>
          <t>SANTIAGO PERDOMO ACERO</t>
        </is>
      </c>
      <c r="L15" s="2" t="inlineStr">
        <is>
          <t>ZONA CENTRO</t>
        </is>
      </c>
      <c r="M15" s="2" t="inlineStr">
        <is>
          <t>SERVICIOS DE TI</t>
        </is>
      </c>
      <c r="N15" s="2"/>
      <c r="O15" s="2" t="inlineStr">
        <is>
          <t>BIENESTAR Y DESARROLLO SOCIAL</t>
        </is>
      </c>
      <c r="P15" s="2"/>
      <c r="Q15" s="2" t="inlineStr">
        <is>
          <t>IDGIBMZTENYZ6AT8PKMGT8PKMGANK0</t>
        </is>
      </c>
      <c r="R15" s="2" t="inlineStr">
        <is>
          <t>a) 0-4</t>
        </is>
      </c>
      <c r="S15" s="2" t="inlineStr">
        <is>
          <t>28/07/2026 16:00:00</t>
        </is>
      </c>
      <c r="T15" s="2" t="inlineStr">
        <is>
          <t>-</t>
        </is>
      </c>
    </row>
    <row r="16">
      <c r="A16" s="2" t="inlineStr">
        <is>
          <t>🟢</t>
        </is>
      </c>
      <c r="B16" s="3" t="str">
        <f>HYPERLINK("https://compensar-smartit.onbmc.com/smartit/app/#/incident/AGGIBMZTENYZ6AT8Q5F1T8Q5F1ISON","INC000000154021")</f>
        <v>INC000000154021</v>
      </c>
      <c r="C16" s="2" t="inlineStr">
        <is>
          <t>No</t>
        </is>
      </c>
      <c r="D16" s="2" t="inlineStr">
        <is>
          <t>Falla en monitor</t>
        </is>
      </c>
      <c r="E16" s="2" t="inlineStr">
        <is>
          <t>Pendiente</t>
        </is>
      </c>
      <c r="F16" s="2" t="inlineStr">
        <is>
          <t>Ubicación para atención del Servicio: FONTIBON PISO 1 LABORATORIO TOMA DE MUESTRAS
Número de contacto para la atención del servicio: 3187900594
Frente: SALUD
Falla: NO ENCIENDE/NO FUNCIONA
¿Cual es el dispositivo que presenta la falla?: [PANTALLA]
Nombre de equipo (inventario o placa): 152800006046
Descripción del incidente o falla: Cordial saludo 
Solicito arreglo de pantalla del computador con activo 152800006046 ubicado en el área de facturación de laboratorio clínico ya que queda en blanco o negro y no funciona, la ejecución de esta actividad se debe realizar en el horario de 7 a 11 am, por favor la única manera de cerrar el caso es con evidencias y dejando en claro datos de la persona que recibe la solución de lo solicitado. 
Cordialmente
</t>
        </is>
      </c>
      <c r="G16" s="2" t="inlineStr">
        <is>
          <t>SERVICIOS DE TECNOLOGIA-SOPORTE EQUIPOS DE COMPUTO-FALLA</t>
        </is>
      </c>
      <c r="H16" s="2" t="inlineStr">
        <is>
          <t>Portal - Web</t>
        </is>
      </c>
      <c r="I16" s="2" t="inlineStr">
        <is>
          <t>Baja</t>
        </is>
      </c>
      <c r="J16" s="4">
        <v>46228.33887731482</v>
      </c>
      <c r="K16" s="2" t="inlineStr">
        <is>
          <t>NICK STEVE TRIANA LOPEZ</t>
        </is>
      </c>
      <c r="L16" s="2" t="inlineStr">
        <is>
          <t>ZONA OCCIDENTE</t>
        </is>
      </c>
      <c r="M16" s="2" t="inlineStr">
        <is>
          <t>SERVICIOS DE TI</t>
        </is>
      </c>
      <c r="N16" s="2" t="inlineStr">
        <is>
          <t>C006046</t>
        </is>
      </c>
      <c r="O16" s="2" t="inlineStr">
        <is>
          <t>SALUD</t>
        </is>
      </c>
      <c r="P16" s="2"/>
      <c r="Q16" s="2" t="inlineStr">
        <is>
          <t>AGGIBMZTENYZ6AT8Q5F1T8Q5F1ISON</t>
        </is>
      </c>
      <c r="R16" s="2" t="inlineStr">
        <is>
          <t>a) 0-4</t>
        </is>
      </c>
      <c r="S16" s="2" t="inlineStr">
        <is>
          <t>29/07/2026 17:00:00</t>
        </is>
      </c>
      <c r="T16" s="2" t="inlineStr">
        <is>
          <t>-</t>
        </is>
      </c>
    </row>
    <row r="17">
      <c r="A17" s="2" t="inlineStr">
        <is>
          <t>🟢</t>
        </is>
      </c>
      <c r="B17" s="3" t="str">
        <f>HYPERLINK("https://compensar-smartit.onbmc.com/smartit/app/#/incident/AGGIBMZTENYZ6AT8Q87GT8Q87GJYQI","INC000000154027")</f>
        <v>INC000000154027</v>
      </c>
      <c r="C17" s="2" t="inlineStr">
        <is>
          <t>No</t>
        </is>
      </c>
      <c r="D17" s="2" t="inlineStr">
        <is>
          <t>Falla en Equipo</t>
        </is>
      </c>
      <c r="E17" s="2" t="inlineStr">
        <is>
          <t>Pendiente</t>
        </is>
      </c>
      <c r="F17" s="2" t="inlineStr">
        <is>
          <t>Ubicación para atención del Servicio: CENTRO MAYOR PISO 3 OFICINA NATACION
Número de contacto para la atención del servicio: 3118458619
Frente: BIENESTAR Y DESARROLLO SOCIAL
Falla: NO ENCIENDE/NO FUNCIONA
¿Cual es el dispositivo que presenta la falla?: [PORTATIL/PC]
Nombre de equipo (inventario o placa): 152800012593
Descripción del incidente o falla: Buen día,
agradezco revisar la Tablet  numero 152800012593 se reinicia sola.
muchas gracias
</t>
        </is>
      </c>
      <c r="G17" s="2" t="inlineStr">
        <is>
          <t>SERVICIOS DE TECNOLOGIA-SOPORTE EQUIPOS DE COMPUTO-FALLA</t>
        </is>
      </c>
      <c r="H17" s="2" t="inlineStr">
        <is>
          <t>Portal - Web</t>
        </is>
      </c>
      <c r="I17" s="2" t="inlineStr">
        <is>
          <t>Baja</t>
        </is>
      </c>
      <c r="J17" s="4">
        <v>46228.388819444444</v>
      </c>
      <c r="K17" s="2" t="inlineStr">
        <is>
          <t>KAREN JULIETH ALVARADO ALVAREZ</t>
        </is>
      </c>
      <c r="L17" s="2" t="inlineStr">
        <is>
          <t>SPT CABECERA CENTRO MAYOR</t>
        </is>
      </c>
      <c r="M17" s="2" t="inlineStr">
        <is>
          <t>SERVICIOS DE TI</t>
        </is>
      </c>
      <c r="N17" s="2"/>
      <c r="O17" s="2" t="inlineStr">
        <is>
          <t>BIENESTAR Y DESARROLLO SOCIAL</t>
        </is>
      </c>
      <c r="P17" s="2"/>
      <c r="Q17" s="2" t="inlineStr">
        <is>
          <t>AGGIBMZTENYZ6AT8Q87GT8Q87GJYQI</t>
        </is>
      </c>
      <c r="R17" s="2" t="inlineStr">
        <is>
          <t>a) 0-4</t>
        </is>
      </c>
      <c r="S17" s="2" t="inlineStr">
        <is>
          <t>28/07/2026 15:00:00</t>
        </is>
      </c>
      <c r="T17" s="2" t="inlineStr">
        <is>
          <t>-</t>
        </is>
      </c>
    </row>
    <row r="18">
      <c r="A18" s="2" t="inlineStr">
        <is>
          <t>🟠</t>
        </is>
      </c>
      <c r="B18" s="3" t="str">
        <f>HYPERLINK("https://compensar-smartit.onbmc.com/smartit/app/#/incident/IDGIBMZTENYZ6AT8SQQ3T8SQQ3R550","INC000000154050")</f>
        <v>INC000000154050</v>
      </c>
      <c r="C18" s="2" t="inlineStr">
        <is>
          <t>No</t>
        </is>
      </c>
      <c r="D18" s="2" t="inlineStr">
        <is>
          <t>No está generando Factura Electrónica</t>
        </is>
      </c>
      <c r="E18" s="2" t="inlineStr">
        <is>
          <t>En curso</t>
        </is>
      </c>
      <c r="F18" s="2" t="inlineStr">
        <is>
          <t>Usuario: Diego Andres Ruiz Saenz
Informa: No está generando Factura Electrónica 
Ubicación: Cajicá - Cajero Alimentos
Tiempo: 2pm
Impacto: 1Usuario
Evidencias: No aplica</t>
        </is>
      </c>
      <c r="G18" s="2" t="inlineStr">
        <is>
          <t>SERVICIOS DE TECNOLOGIA-APLICACIONES DE NEGOCIO-FALLA</t>
        </is>
      </c>
      <c r="H18" s="2" t="inlineStr">
        <is>
          <t>Telefono</t>
        </is>
      </c>
      <c r="I18" s="2" t="inlineStr">
        <is>
          <t>Baja</t>
        </is>
      </c>
      <c r="J18" s="4">
        <v>46229.607835648145</v>
      </c>
      <c r="K18" s="2" t="inlineStr">
        <is>
          <t>EDWIN ALEXIS PATIÑO TEJEDOR</t>
        </is>
      </c>
      <c r="L18" s="2" t="inlineStr">
        <is>
          <t>ZONA NORTE</t>
        </is>
      </c>
      <c r="M18" s="2" t="inlineStr">
        <is>
          <t>SERVICIOS DE TI</t>
        </is>
      </c>
      <c r="N18" s="2" t="inlineStr">
        <is>
          <t>SWEX140 - FACTURACION ELECTRONICA</t>
        </is>
      </c>
      <c r="O18" s="2" t="inlineStr">
        <is>
          <t>CLIENTES</t>
        </is>
      </c>
      <c r="P18" s="2"/>
      <c r="Q18" s="2" t="inlineStr">
        <is>
          <t>IDGIBMZTENYZ6AT8SQQ3T8SQQ3R550</t>
        </is>
      </c>
      <c r="R18" s="2" t="inlineStr">
        <is>
          <t>a) 0-4</t>
        </is>
      </c>
      <c r="S18" s="2" t="inlineStr">
        <is>
          <t>-</t>
        </is>
      </c>
      <c r="T18" s="2" t="inlineStr">
        <is>
          <t>28/07/2026 12:00:00</t>
        </is>
      </c>
    </row>
    <row r="19">
      <c r="A19" s="2" t="inlineStr">
        <is>
          <t>🟢</t>
        </is>
      </c>
      <c r="B19" s="3" t="str">
        <f>HYPERLINK("https://compensar-smartit.onbmc.com/smartit/app/#/incident/IDGIBMZTENYZ6AT8SU3AT8SU3ASE4B","INC000000154052")</f>
        <v>INC000000154052</v>
      </c>
      <c r="C19" s="2" t="inlineStr">
        <is>
          <t>No</t>
        </is>
      </c>
      <c r="D19" s="2" t="inlineStr">
        <is>
          <t>Falla impresora Ricoh</t>
        </is>
      </c>
      <c r="E19" s="2" t="inlineStr">
        <is>
          <t>Pendiente</t>
        </is>
      </c>
      <c r="F19" s="2" t="inlineStr">
        <is>
          <t>Usuario         : Diego Andres Ruiz Saenz
CC              : 1018435875
Tel             : 3214445865
Informa         : El colaborador reporta que la impresora Ricoh presenta una falla al imprimir, ya que, aunque tiene papel cargado, el equipo no lo detecta. Se verifica que se realizaron reinicios tanto del equipo de cómputo como de la impresora en varias ocasiones, sin que se resolviera la novedad. No confirma el serial de la impresora .
Ubicación       : Cajica Piso 1 Parrilla Comedor y Cocina
Tiempo          : 3:37 p. m. 26/07/2026
Impacto         : 1
Placa de equipo : No especificada
Evidencias      :
1. Capturas de pantalla.</t>
        </is>
      </c>
      <c r="G19" s="2" t="inlineStr">
        <is>
          <t>SERVICIOS DE TECNOLOGIA-SERVICIOS DE IMPRESION/ESCANER-FALLA DE CONEXION</t>
        </is>
      </c>
      <c r="H19" s="2" t="inlineStr">
        <is>
          <t>Telefono</t>
        </is>
      </c>
      <c r="I19" s="2" t="inlineStr">
        <is>
          <t>Baja</t>
        </is>
      </c>
      <c r="J19" s="4">
        <v>46229.65797453704</v>
      </c>
      <c r="K19" s="2" t="inlineStr">
        <is>
          <t>CARLOS IVAN CUCANCHON CARRILLO</t>
        </is>
      </c>
      <c r="L19" s="2" t="inlineStr">
        <is>
          <t>ZONA NORTE</t>
        </is>
      </c>
      <c r="M19" s="2" t="inlineStr">
        <is>
          <t>SERVICIOS DE TI</t>
        </is>
      </c>
      <c r="N19" s="2" t="inlineStr">
        <is>
          <t>IMPRESION</t>
        </is>
      </c>
      <c r="O19" s="2" t="inlineStr">
        <is>
          <t>BIENESTAR Y DESARROLLO SOCIAL</t>
        </is>
      </c>
      <c r="P19" s="2"/>
      <c r="Q19" s="2" t="inlineStr">
        <is>
          <t>IDGIBMZTENYZ6AT8SU3AT8SU3ASE4B</t>
        </is>
      </c>
      <c r="R19" s="2" t="inlineStr">
        <is>
          <t>a) 0-4</t>
        </is>
      </c>
      <c r="S19" s="2" t="inlineStr">
        <is>
          <t>29/07/2026 12:00:00</t>
        </is>
      </c>
      <c r="T19" s="2" t="inlineStr">
        <is>
          <t>-</t>
        </is>
      </c>
    </row>
    <row r="20">
      <c r="A20" s="2" t="inlineStr">
        <is>
          <t>🟢</t>
        </is>
      </c>
      <c r="B20" s="3" t="str">
        <f>HYPERLINK("https://compensar-smartit.onbmc.com/smartit/app/#/incident/IDGIBMZTENYZ6AT8SVHZT8SVHZS19U","INC000000154053")</f>
        <v>INC000000154053</v>
      </c>
      <c r="C20" s="2" t="inlineStr">
        <is>
          <t>No</t>
        </is>
      </c>
      <c r="D20" s="2" t="inlineStr">
        <is>
          <t>Falla de equip clínica Palermo</t>
        </is>
      </c>
      <c r="E20" s="2" t="inlineStr">
        <is>
          <t>Pendiente</t>
        </is>
      </c>
      <c r="F20" s="2" t="inlineStr">
        <is>
          <t>Usuario         : Linda Rosa Villa Narvaez
CC              : 1085173429
Tel             : 3234421631
Informa         : La colaboradora reporta que el equipo presenta una falla y no tiene acceso a la red paginas de compensar.
Ubicación       : Clinica Palermo Piso 1 Laboratorio
Tiempo          : 3:43 p. m. 26/07/2026
Impacto         : 1
Placa de equipo : C006588
Evidencias      : No especificada</t>
        </is>
      </c>
      <c r="G20" s="2" t="inlineStr">
        <is>
          <t>SERVICIOS DE TECNOLOGIA-SOPORTE EQUIPOS DE COMPUTO-FALLA</t>
        </is>
      </c>
      <c r="H20" s="2" t="inlineStr">
        <is>
          <t>Telefono</t>
        </is>
      </c>
      <c r="I20" s="2" t="inlineStr">
        <is>
          <t>Baja</t>
        </is>
      </c>
      <c r="J20" s="4">
        <v>46229.661724537036</v>
      </c>
      <c r="K20" s="2" t="inlineStr">
        <is>
          <t>JEISON ANDRES REYES ROMERO</t>
        </is>
      </c>
      <c r="L20" s="2" t="inlineStr">
        <is>
          <t>ZONA ORIENTE</t>
        </is>
      </c>
      <c r="M20" s="2" t="inlineStr">
        <is>
          <t>SERVICIOS DE TI</t>
        </is>
      </c>
      <c r="N20" s="2" t="inlineStr">
        <is>
          <t>C006588</t>
        </is>
      </c>
      <c r="O20" s="2" t="inlineStr">
        <is>
          <t>SALUD</t>
        </is>
      </c>
      <c r="P20" s="2"/>
      <c r="Q20" s="2" t="inlineStr">
        <is>
          <t>IDGIBMZTENYZ6AT8SVHZT8SVHZS19U</t>
        </is>
      </c>
      <c r="R20" s="2" t="inlineStr">
        <is>
          <t>a) 0-4</t>
        </is>
      </c>
      <c r="S20" s="2" t="inlineStr">
        <is>
          <t>29/07/2026 17:00:00</t>
        </is>
      </c>
      <c r="T20" s="2" t="inlineStr">
        <is>
          <t>-</t>
        </is>
      </c>
    </row>
    <row r="21">
      <c r="A21" s="2" t="inlineStr">
        <is>
          <t>🟠</t>
        </is>
      </c>
      <c r="B21" s="3" t="str">
        <f>HYPERLINK("https://compensar-smartit.onbmc.com/smartit/app/#/incident/IDGIBMZTENYZ6AT8UDUDT8UDUDCY6B","INC000000154067")</f>
        <v>INC000000154067</v>
      </c>
      <c r="C21" s="2" t="inlineStr">
        <is>
          <t>No</t>
        </is>
      </c>
      <c r="D21" s="2" t="inlineStr">
        <is>
          <t>Error de relación de confianza al iniciar sesión en equipo corporativo</t>
        </is>
      </c>
      <c r="E21" s="2" t="inlineStr">
        <is>
          <t>Asignado</t>
        </is>
      </c>
      <c r="F21" s="2" t="inlineStr">
        <is>
          <t>Usuario: Ivonne Catherine Zamora Rodriguez
CC: 36755688
Tel: 3002506809
Informa: Funcionaria indica que, al intentar iniciar sesión en el equipo corporativo, se presenta el mensaje: "La base de datos de seguridad en el servidor no tiene una cuenta de equipo para la relación de confianza de esta estación de trabajo", impidiendo el acceso al sistema.
Ubicación: Centro Nariño (Acueducto). Piso: 1 Area: Consultorio 105 - Jeriatria
Tiempo: 7:47 a. m. 27/07/2026
Impacto: 1
Evidencias: Se brinda soporte de primer nivel, realizando el desbloqueo y cambio de la contraseña de las credenciales del dominio de red (Windows). Posteriormente, se valida nuevamente el inicio de sesión en el equipo corporativo; sin embargo, la falla persiste, presentándose el mensaje relacionado con la relación de confianza entre el equipo y el dominio. Debido a lo anterior, se escala el caso al área de Tecnología para su respectiva revisión y solución.</t>
        </is>
      </c>
      <c r="G21" s="2" t="inlineStr">
        <is>
          <t>SERVICIOS DE TECNOLOGIA-APLICACIONES DE NEGOCIO-FALLA</t>
        </is>
      </c>
      <c r="H21" s="2" t="inlineStr">
        <is>
          <t>Telefono</t>
        </is>
      </c>
      <c r="I21" s="2" t="inlineStr">
        <is>
          <t>Baja</t>
        </is>
      </c>
      <c r="J21" s="4">
        <v>46230.33304398148</v>
      </c>
      <c r="K21" s="2" t="inlineStr">
        <is>
          <t>SANTIAGO PERDOMO ACERO</t>
        </is>
      </c>
      <c r="L21" s="2" t="inlineStr">
        <is>
          <t>ZONA CENTRO</t>
        </is>
      </c>
      <c r="M21" s="2" t="inlineStr">
        <is>
          <t>SERVICIOS DE TI</t>
        </is>
      </c>
      <c r="N21" s="2" t="inlineStr">
        <is>
          <t>SISTEMA OPERATIVO WINDOWS</t>
        </is>
      </c>
      <c r="O21" s="2" t="inlineStr">
        <is>
          <t>SALUD</t>
        </is>
      </c>
      <c r="P21" s="2"/>
      <c r="Q21" s="2" t="inlineStr">
        <is>
          <t>IDGIBMZTENYZ6AT8UDUDT8UDUDCY6B</t>
        </is>
      </c>
      <c r="R21" s="2" t="inlineStr">
        <is>
          <t>a) 0-4</t>
        </is>
      </c>
      <c r="S21" s="2" t="inlineStr">
        <is>
          <t>-</t>
        </is>
      </c>
      <c r="T21" s="2" t="inlineStr">
        <is>
          <t>28/07/2026 13:59:35</t>
        </is>
      </c>
    </row>
    <row r="22">
      <c r="A22" s="2" t="inlineStr">
        <is>
          <t>🟠</t>
        </is>
      </c>
      <c r="B22" s="3" t="str">
        <f>HYPERLINK("https://compensar-smartit.onbmc.com/smartit/app/#/incident/IDGIBMZTENYZ6AT8UGIMT8UGIMHDPN","INC000000154080")</f>
        <v>INC000000154080</v>
      </c>
      <c r="C22" s="2" t="inlineStr">
        <is>
          <t>No</t>
        </is>
      </c>
      <c r="D22" s="2" t="inlineStr">
        <is>
          <t>Disco lleno en el equipo</t>
        </is>
      </c>
      <c r="E22" s="2" t="inlineStr">
        <is>
          <t>En curso</t>
        </is>
      </c>
      <c r="F22" s="2" t="inlineStr">
        <is>
          <t>Usuario: Lina Marcela Gomez Quintero
Teléfono: 3017627069
CC: 1104382493
Informa: La usuaria se comunica con la Mesa de Servicio indicando que el disco del equipo se encuentra lleno.
Ubicación: CSDE torre b piso 3 juridica
Tiempo: 8:39 a. m. 27/07/2026
Evidencias:
1. Se realizó conexión remota al equipo de la usuaria.
2. Se validó el espacio de almacenamiento del equipo.
3. Se realizó soporte de primer nivel mediante la eliminación de archivos temporales.
4. Se escaló el caso para la respectiva validación.</t>
        </is>
      </c>
      <c r="G22" s="2" t="inlineStr">
        <is>
          <t>SERVICIOS DE TECNOLOGIA-SOPORTE EQUIPOS DE COMPUTO-FALLA</t>
        </is>
      </c>
      <c r="H22" s="2" t="inlineStr">
        <is>
          <t>Telefono</t>
        </is>
      </c>
      <c r="I22" s="2" t="inlineStr">
        <is>
          <t>Baja</t>
        </is>
      </c>
      <c r="J22" s="4">
        <v>46230.3683912037</v>
      </c>
      <c r="K22" s="2" t="inlineStr">
        <is>
          <t>KEVIN ALEXIS GARCIA GUARACA</t>
        </is>
      </c>
      <c r="L22" s="2" t="inlineStr">
        <is>
          <t>ZONA CENTRO</t>
        </is>
      </c>
      <c r="M22" s="2" t="inlineStr">
        <is>
          <t>SERVICIOS DE TI</t>
        </is>
      </c>
      <c r="N22" s="2" t="inlineStr">
        <is>
          <t>P017103</t>
        </is>
      </c>
      <c r="O22" s="2" t="inlineStr">
        <is>
          <t>BIENESTAR Y DESARROLLO SOCIAL</t>
        </is>
      </c>
      <c r="P22" s="2"/>
      <c r="Q22" s="2" t="inlineStr">
        <is>
          <t>IDGIBMZTENYZ6AT8UGIMT8UGIMHDPN</t>
        </is>
      </c>
      <c r="R22" s="2" t="inlineStr">
        <is>
          <t>a) 0-4</t>
        </is>
      </c>
      <c r="S22" s="2" t="inlineStr">
        <is>
          <t>-</t>
        </is>
      </c>
      <c r="T22" s="2" t="inlineStr">
        <is>
          <t>28/07/2026 14:50:29</t>
        </is>
      </c>
    </row>
    <row r="23">
      <c r="A23" s="2" t="inlineStr">
        <is>
          <t>🟢</t>
        </is>
      </c>
      <c r="B23" s="3" t="str">
        <f>HYPERLINK("https://compensar-smartit.onbmc.com/smartit/app/#/incident/IDGIBMZTENYZ6AT8UHKGT8UHKGJWV5","INC000000154093")</f>
        <v>INC000000154093</v>
      </c>
      <c r="C23" s="2" t="inlineStr">
        <is>
          <t>No</t>
        </is>
      </c>
      <c r="D23" s="2" t="inlineStr">
        <is>
          <t>Falla Pantalla - Se muestran líneas y no deja visualizar bien</t>
        </is>
      </c>
      <c r="E23" s="2" t="inlineStr">
        <is>
          <t>Pendiente</t>
        </is>
      </c>
      <c r="F23" s="2" t="inlineStr">
        <is>
          <t>Usuaria: Nydia Lizeth Carrillo Becerra
Informa: Falla Pantalla - Se muestran líneas y no deja visualizar bien
Ubicación: Movilidad
Tiempo: 9am
Impacto: 1Usuario
Evidencias: No aplica
Activo: 0125135</t>
        </is>
      </c>
      <c r="G23" s="2" t="inlineStr">
        <is>
          <t>SERVICIOS DE TECNOLOGIA-SOPORTE EQUIPOS DE COMPUTO-FALLA</t>
        </is>
      </c>
      <c r="H23" s="2" t="inlineStr">
        <is>
          <t>Telefono</t>
        </is>
      </c>
      <c r="I23" s="2" t="inlineStr">
        <is>
          <t>Baja</t>
        </is>
      </c>
      <c r="J23" s="4">
        <v>46230.38922453704</v>
      </c>
      <c r="K23" s="2" t="inlineStr">
        <is>
          <t>JUAN CAMILO RINCON BLANCO</t>
        </is>
      </c>
      <c r="L23" s="2" t="inlineStr">
        <is>
          <t>ZONA CENTRO</t>
        </is>
      </c>
      <c r="M23" s="2" t="inlineStr">
        <is>
          <t>SERVICIOS DE TI</t>
        </is>
      </c>
      <c r="N23" s="2"/>
      <c r="O23" s="2" t="inlineStr">
        <is>
          <t>CLIENTES</t>
        </is>
      </c>
      <c r="P23" s="2"/>
      <c r="Q23" s="2" t="inlineStr">
        <is>
          <t>IDGIBMZTENYZ6AT8UHKGT8UHKGJWV5</t>
        </is>
      </c>
      <c r="R23" s="2" t="inlineStr">
        <is>
          <t>a) 0-4</t>
        </is>
      </c>
      <c r="S23" s="2" t="inlineStr">
        <is>
          <t>30/07/2026 18:00:00</t>
        </is>
      </c>
      <c r="T23" s="2" t="inlineStr">
        <is>
          <t>-</t>
        </is>
      </c>
    </row>
    <row r="24">
      <c r="A24" s="2" t="inlineStr">
        <is>
          <t>🟢</t>
        </is>
      </c>
      <c r="B24" s="3" t="str">
        <f>HYPERLINK("https://compensar-smartit.onbmc.com/smartit/app/#/incident/IDGGSWY0I24JCAT8Q284T8Q284IVBQ","INC000000154113")</f>
        <v>INC000000154113</v>
      </c>
      <c r="C24" s="2" t="inlineStr">
        <is>
          <t>No</t>
        </is>
      </c>
      <c r="D24" s="2" t="inlineStr">
        <is>
          <t>Falla de impresora zebra no imprime stickers</t>
        </is>
      </c>
      <c r="E24" s="2" t="inlineStr">
        <is>
          <t>Pendiente</t>
        </is>
      </c>
      <c r="F24" s="2" t="inlineStr">
        <is>
          <t>Usuario: Cindy Johanna Vargas Mojica 
CC: 1012423899
Tel: 3118967486
Informa: La colaboradora reporta que la impresora de stickers zebra no imprime 
Ubicación: Sede autopista sur , piso 1 , ventanilla 6
Tiempo: 7:07 a. m. 25/07/2026
Impacto:1
Evidencias: Se escala para su gestión
Numero de placa : 014356
Serial : 910500000013</t>
        </is>
      </c>
      <c r="G24" s="2" t="inlineStr">
        <is>
          <t>SERVICIOS DE TECNOLOGIA-SERVICIOS DE IMPRESION/ESCANER-FALLA</t>
        </is>
      </c>
      <c r="H24" s="2" t="inlineStr">
        <is>
          <t>Telefono</t>
        </is>
      </c>
      <c r="I24" s="2" t="inlineStr">
        <is>
          <t>Baja</t>
        </is>
      </c>
      <c r="J24" s="4">
        <v>46228.30197916667</v>
      </c>
      <c r="K24" s="2" t="inlineStr">
        <is>
          <t>MICHAEL STEVEN FRAILE GOMEZ</t>
        </is>
      </c>
      <c r="L24" s="2" t="inlineStr">
        <is>
          <t>ZONA SURORIENTE</t>
        </is>
      </c>
      <c r="M24" s="2" t="inlineStr">
        <is>
          <t>SERVICIOS DE TI</t>
        </is>
      </c>
      <c r="N24" s="2" t="inlineStr">
        <is>
          <t>SERVICIOS DE IMPRESIÓN</t>
        </is>
      </c>
      <c r="O24" s="2" t="inlineStr">
        <is>
          <t>SALUD</t>
        </is>
      </c>
      <c r="P24" s="2"/>
      <c r="Q24" s="2" t="inlineStr">
        <is>
          <t>IDGGSWY0I24JCAT8Q284T8Q284IVBQ</t>
        </is>
      </c>
      <c r="R24" s="2" t="inlineStr">
        <is>
          <t>a) 0-4</t>
        </is>
      </c>
      <c r="S24" s="2" t="inlineStr">
        <is>
          <t>28/07/2026 17:00:00</t>
        </is>
      </c>
      <c r="T24" s="2" t="inlineStr">
        <is>
          <t>-</t>
        </is>
      </c>
    </row>
    <row r="25">
      <c r="A25" s="2" t="inlineStr">
        <is>
          <t>🟠</t>
        </is>
      </c>
      <c r="B25" s="3" t="str">
        <f>HYPERLINK("https://compensar-smartit.onbmc.com/smartit/app/#/incident/IDGEXM7CDZJ5AAT8TZLQT8TZLQMOHG","INC000000154209")</f>
        <v>INC000000154209</v>
      </c>
      <c r="C25" s="2" t="inlineStr">
        <is>
          <t>No</t>
        </is>
      </c>
      <c r="D25" s="2" t="inlineStr">
        <is>
          <t>Error de dominio</t>
        </is>
      </c>
      <c r="E25" s="2" t="inlineStr">
        <is>
          <t>Asignado</t>
        </is>
      </c>
      <c r="F25" s="2" t="inlineStr">
        <is>
          <t>Usuario:    Ivonne Catherine Zamora Rodriguez
CC:         36755688
Tel:        3002506809
Informa:    La colaboradora reporta que al ingresar en Windows con sus  credenciales habituales aparece un mensaje "no tiene relación de confianza en esta estación de trabajo" para iniciar sesión en Windows - error dominio.
Ubicación:  Acueducto consultorio 103
Tiempo:     6:30
Impacto:    1
Evidencias:</t>
        </is>
      </c>
      <c r="G25" s="2" t="inlineStr">
        <is>
          <t>SERVICIOS DE TECNOLOGIA-APLICACIONES DE NEGOCIO-FALLA</t>
        </is>
      </c>
      <c r="H25" s="2" t="inlineStr">
        <is>
          <t>Telefono</t>
        </is>
      </c>
      <c r="I25" s="2" t="inlineStr">
        <is>
          <t>Baja</t>
        </is>
      </c>
      <c r="J25" s="4">
        <v>46230.26704861111</v>
      </c>
      <c r="K25" s="2" t="inlineStr">
        <is>
          <t>SANTIAGO PERDOMO ACERO</t>
        </is>
      </c>
      <c r="L25" s="2" t="inlineStr">
        <is>
          <t>ZONA CENTRO</t>
        </is>
      </c>
      <c r="M25" s="2" t="inlineStr">
        <is>
          <t>SERVICIOS DE TI</t>
        </is>
      </c>
      <c r="N25" s="2"/>
      <c r="O25" s="2" t="inlineStr">
        <is>
          <t>SALUD</t>
        </is>
      </c>
      <c r="P25" s="2"/>
      <c r="Q25" s="2" t="inlineStr">
        <is>
          <t>IDGEXM7CDZJ5AAT8TZLQT8TZLQMOHG</t>
        </is>
      </c>
      <c r="R25" s="2" t="inlineStr">
        <is>
          <t>a) 0-4</t>
        </is>
      </c>
      <c r="S25" s="2" t="inlineStr">
        <is>
          <t>-</t>
        </is>
      </c>
      <c r="T25" s="2" t="inlineStr">
        <is>
          <t>28/07/2026 12:24:33</t>
        </is>
      </c>
    </row>
    <row r="26">
      <c r="A26" s="2" t="inlineStr">
        <is>
          <t>🟠</t>
        </is>
      </c>
      <c r="B26" s="3" t="str">
        <f>HYPERLINK("https://compensar-smartit.onbmc.com/smartit/app/#/incident/IDGEXM7CDZJ5AAT8UJ14T8UJ14X25M","INC000000154259")</f>
        <v>INC000000154259</v>
      </c>
      <c r="C26" s="2" t="inlineStr">
        <is>
          <t>No</t>
        </is>
      </c>
      <c r="D26" s="2" t="inlineStr">
        <is>
          <t>Falla Conexión a Pagina Ext para consulta de usuarios</t>
        </is>
      </c>
      <c r="E26" s="2" t="inlineStr">
        <is>
          <t>Asignado</t>
        </is>
      </c>
      <c r="F26" s="2" t="inlineStr">
        <is>
          <t>Usuario: Leidy Natalia Rojas Cabezas
Informa: Falla Conexión a Pagina ext para validación de usuarios
Ubicación: Movilidad - Subsidios
Tiempo: 9am
Impacto: 1Usuario
Evidencias: Adjunto
Por favor validar si existe algún bloqueo para el ingreso a la pagina, Se requiere desbloquear la url con prioridad para grabación de subsidios ya que la pagina de consulta no carga. Se valida con otros usuarios en diferentes dispositivos y la falla solo se genera con este equipo. 
🪪 Cédula: 1020739598
📞 Celular: 3058791842
💻 Activo: P017242
📍 Ubicación: Movilidad 
🌐 https://servicios.adres.gov.co/R-Contributivo/Consultas-y-estadisticas/CONSULTA-AFILIADOS-COMPENSADOS</t>
        </is>
      </c>
      <c r="G26" s="2" t="inlineStr">
        <is>
          <t>SERVICIOS DE TECNOLOGIA-SEGURIDAD INFORMATICA-FALLA O MENSAJE DE ERROR</t>
        </is>
      </c>
      <c r="H26" s="2" t="inlineStr">
        <is>
          <t>Telefono</t>
        </is>
      </c>
      <c r="I26" s="2" t="inlineStr">
        <is>
          <t>Baja</t>
        </is>
      </c>
      <c r="J26" s="4">
        <v>46230.42502314815</v>
      </c>
      <c r="K26" s="2" t="inlineStr">
        <is>
          <t>DILAN SAMIR LOPEZ ARAUJO</t>
        </is>
      </c>
      <c r="L26" s="2" t="inlineStr">
        <is>
          <t>ZONA CENTRO</t>
        </is>
      </c>
      <c r="M26" s="2" t="inlineStr">
        <is>
          <t>SERVICIOS DE TI</t>
        </is>
      </c>
      <c r="N26" s="2"/>
      <c r="O26" s="2" t="inlineStr">
        <is>
          <t>CLIENTES</t>
        </is>
      </c>
      <c r="P26" s="2"/>
      <c r="Q26" s="2" t="inlineStr">
        <is>
          <t>IDGEXM7CDZJ5AAT8UJ14T8UJ14X25M</t>
        </is>
      </c>
      <c r="R26" s="2" t="inlineStr">
        <is>
          <t>a) 0-4</t>
        </is>
      </c>
      <c r="S26" s="2" t="inlineStr">
        <is>
          <t>-</t>
        </is>
      </c>
      <c r="T26" s="2" t="inlineStr">
        <is>
          <t>28/07/2026 16:12:02</t>
        </is>
      </c>
    </row>
    <row r="27">
      <c r="A27" s="2" t="inlineStr">
        <is>
          <t>🟠</t>
        </is>
      </c>
      <c r="B27" s="3" t="str">
        <f>HYPERLINK("https://compensar-smartit.onbmc.com/smartit/app/#/incident/IDGEXM7CDZJ5AAT8U27OT8U27ODA65","INC000000154280")</f>
        <v>INC000000154280</v>
      </c>
      <c r="C27" s="2" t="inlineStr">
        <is>
          <t>No</t>
        </is>
      </c>
      <c r="D27" s="2" t="inlineStr">
        <is>
          <t>VALIDACION DE CONEXION A RED WIFI CORPORATIVO</t>
        </is>
      </c>
      <c r="E27" s="2" t="inlineStr">
        <is>
          <t>En curso</t>
        </is>
      </c>
      <c r="F27" s="2" t="inlineStr">
        <is>
          <t>Usuaria: Monica Milena Leiva Lizarazo
Informa: Usuaria necesita saber si cuenta con usuario de dominio compensar caja para conectarse a la red Wifi Corporativa para el acceso al equipo en AV68 para la operación.
Cedula: 53154678 
Celular: 3153147804
Ubicación: CSDE TORRE B PISO 2
Numero de activo del equipo: N-A
Impacto: (CUENTA DE DIRECTORIO ACTIVO) (SISTEMA OPRATIVO)</t>
        </is>
      </c>
      <c r="G27" s="2" t="inlineStr">
        <is>
          <t>SERVICIOS DE TECNOLOGIA-SOPORTE EQUIPOS DE COMPUTO-FALLA</t>
        </is>
      </c>
      <c r="H27" s="2" t="inlineStr">
        <is>
          <t>Chat</t>
        </is>
      </c>
      <c r="I27" s="2" t="inlineStr">
        <is>
          <t>Baja</t>
        </is>
      </c>
      <c r="J27" s="4">
        <v>46230.460625</v>
      </c>
      <c r="K27" s="2" t="inlineStr">
        <is>
          <t>DILAN SAMIR LOPEZ ARAUJO</t>
        </is>
      </c>
      <c r="L27" s="2" t="inlineStr">
        <is>
          <t>ZONA CENTRO</t>
        </is>
      </c>
      <c r="M27" s="2" t="inlineStr">
        <is>
          <t>SERVICIOS DE TI</t>
        </is>
      </c>
      <c r="N27" s="2" t="inlineStr">
        <is>
          <t>CUENTA DE DIRECTORIO ACTIVO Y/O INTERNET</t>
        </is>
      </c>
      <c r="O27" s="2" t="inlineStr">
        <is>
          <t>SALUD</t>
        </is>
      </c>
      <c r="P27" s="2"/>
      <c r="Q27" s="2" t="inlineStr">
        <is>
          <t>IDGEXM7CDZJ5AAT8U27OT8U27ODA65</t>
        </is>
      </c>
      <c r="R27" s="2" t="inlineStr">
        <is>
          <t>a) 0-4</t>
        </is>
      </c>
      <c r="S27" s="2" t="inlineStr">
        <is>
          <t>-</t>
        </is>
      </c>
      <c r="T27" s="2" t="inlineStr">
        <is>
          <t>28/07/2026 17:03:18</t>
        </is>
      </c>
    </row>
    <row r="28">
      <c r="A28" s="2" t="inlineStr">
        <is>
          <t>🟠</t>
        </is>
      </c>
      <c r="B28" s="3" t="str">
        <f>HYPERLINK("https://compensar-smartit.onbmc.com/smartit/app/#/incident/IDGEXM7CDZJ5AAT8U36VT8U36VE9IV","INC000000154284")</f>
        <v>INC000000154284</v>
      </c>
      <c r="C28" s="2" t="inlineStr">
        <is>
          <t>No</t>
        </is>
      </c>
      <c r="D28" s="2" t="inlineStr">
        <is>
          <t>Falla de pantalla de equipo de escritorio</t>
        </is>
      </c>
      <c r="E28" s="2" t="inlineStr">
        <is>
          <t>Asignado</t>
        </is>
      </c>
      <c r="F28" s="2" t="inlineStr">
        <is>
          <t>Usuario        : Cindy Arias
CC             : 1063485205
Tel            : 3229156755
Informa        : La colaboradora reporta falla con la pantalla del monitor del equipo. Se valida que el cable de imagen presenta fallas; al intentar reconectarlo mejora temporalmente, pero la imagen vuelve a fallar.
Ubicación      : Chia Market piso 3
Tiempo         : 11:27 a. m. 27/07/2026
Impacto        : 1
Placa de equipo: Activo: 191196
Evidencias     :
                 1. Validación de falla en cable de imagen del monitor.
                 2. Comportamiento intermitente de pérdida de imagen al reconectar el cable.
3.se adjunta imagen</t>
        </is>
      </c>
      <c r="G28" s="2" t="inlineStr">
        <is>
          <t>SERVICIOS DE TECNOLOGIA-APLICACIONES DE NEGOCIO-FALLA</t>
        </is>
      </c>
      <c r="H28" s="2" t="inlineStr">
        <is>
          <t>Telefono</t>
        </is>
      </c>
      <c r="I28" s="2" t="inlineStr">
        <is>
          <t>Baja</t>
        </is>
      </c>
      <c r="J28" s="4">
        <v>46230.47907407407</v>
      </c>
      <c r="K28" s="2" t="inlineStr">
        <is>
          <t>MARIA FERNANDA PEREIRA BUENO</t>
        </is>
      </c>
      <c r="L28" s="2" t="inlineStr">
        <is>
          <t>ZONA NORTE</t>
        </is>
      </c>
      <c r="M28" s="2" t="inlineStr">
        <is>
          <t>SERVICIOS DE TI</t>
        </is>
      </c>
      <c r="N28" s="2" t="inlineStr">
        <is>
          <t>WINDOWS 10 PROFESSIONAL</t>
        </is>
      </c>
      <c r="O28" s="2" t="inlineStr">
        <is>
          <t>SALUD</t>
        </is>
      </c>
      <c r="P28" s="2"/>
      <c r="Q28" s="2" t="inlineStr">
        <is>
          <t>IDGEXM7CDZJ5AAT8U36VT8U36VE9IV</t>
        </is>
      </c>
      <c r="R28" s="2" t="inlineStr">
        <is>
          <t>a) 0-4</t>
        </is>
      </c>
      <c r="S28" s="2" t="inlineStr">
        <is>
          <t>-</t>
        </is>
      </c>
      <c r="T28" s="2" t="inlineStr">
        <is>
          <t>28/07/2026 17:29:52</t>
        </is>
      </c>
    </row>
    <row r="29">
      <c r="A29" s="2" t="inlineStr">
        <is>
          <t>🟠</t>
        </is>
      </c>
      <c r="B29" s="3" t="str">
        <f>HYPERLINK("https://compensar-smartit.onbmc.com/smartit/app/#/incident/IDGEXM7CDZJ5AAT8U4CST8U4CSFLIL","INC000000154291")</f>
        <v>INC000000154291</v>
      </c>
      <c r="C29" s="2" t="inlineStr">
        <is>
          <t>No</t>
        </is>
      </c>
      <c r="D29" s="2" t="inlineStr">
        <is>
          <t>Falla Correo - No genera búsquedas</t>
        </is>
      </c>
      <c r="E29" s="2" t="inlineStr">
        <is>
          <t>En curso</t>
        </is>
      </c>
      <c r="F29" s="2" t="inlineStr">
        <is>
          <t>Usuario: Daisy Marcela Vásquez Paez
Informa: Falla Correo - No genera búsquedas 
Ubicación: Movilidad
Tiempo: 11am
Impacto: 1Usuario
Evidencias: Adjunto</t>
        </is>
      </c>
      <c r="G29" s="2" t="inlineStr">
        <is>
          <t>SERVICIOS DE TECNOLOGIA-CORREO ELECTRONICO-FALLA SINCRONIZACION</t>
        </is>
      </c>
      <c r="H29" s="2" t="inlineStr">
        <is>
          <t>Telefono</t>
        </is>
      </c>
      <c r="I29" s="2" t="inlineStr">
        <is>
          <t>Baja</t>
        </is>
      </c>
      <c r="J29" s="4">
        <v>46230.48516203704</v>
      </c>
      <c r="K29" s="2" t="inlineStr">
        <is>
          <t>ANDERSON JULIAN RATIVA RAMIREZ</t>
        </is>
      </c>
      <c r="L29" s="2" t="inlineStr">
        <is>
          <t>ZONA CENTRO</t>
        </is>
      </c>
      <c r="M29" s="2" t="inlineStr">
        <is>
          <t>SERVICIOS DE TI</t>
        </is>
      </c>
      <c r="N29" s="2" t="inlineStr">
        <is>
          <t>CORREO ELECTRONICO</t>
        </is>
      </c>
      <c r="O29" s="2" t="inlineStr">
        <is>
          <t>CLIENTES</t>
        </is>
      </c>
      <c r="P29" s="2"/>
      <c r="Q29" s="2" t="inlineStr">
        <is>
          <t>IDGEXM7CDZJ5AAT8U4CST8U4CSFLIL</t>
        </is>
      </c>
      <c r="R29" s="2" t="inlineStr">
        <is>
          <t>a) 0-4</t>
        </is>
      </c>
      <c r="S29" s="2" t="inlineStr">
        <is>
          <t>-</t>
        </is>
      </c>
      <c r="T29" s="2" t="inlineStr">
        <is>
          <t>28/07/2026 17:38:38</t>
        </is>
      </c>
    </row>
    <row r="30">
      <c r="A30" s="2" t="inlineStr">
        <is>
          <t>🟠</t>
        </is>
      </c>
      <c r="B30" s="3" t="str">
        <f>HYPERLINK("https://compensar-smartit.onbmc.com/smartit/app/#/incident/AGGEXM7CDZJ5AAT8U4JPT8U4JPFXKF","INC000000154293")</f>
        <v>INC000000154293</v>
      </c>
      <c r="C30" s="2" t="inlineStr">
        <is>
          <t>No</t>
        </is>
      </c>
      <c r="D30" s="2" t="inlineStr">
        <is>
          <t>Falla en Equipo - BARRANQUILLA</t>
        </is>
      </c>
      <c r="E30" s="2" t="inlineStr">
        <is>
          <t>En curso</t>
        </is>
      </c>
      <c r="F30" s="2" t="inlineStr">
        <is>
          <t>Ubicación para atención del Servicio: CENTRO ESPECIALIZADO CEP BARRANQUILLA
Número de contacto para la atención del servicio: 3006659048
Frente: SALUD
Falla: NO ENCIENDE/NO FUNCIONA
¿Cual es el dispositivo que presenta la falla?: [OTRO]
Nombre de equipo (inventario o placa): 152800006570
Descripción del incidente o falla: Buen dia,
Solicito de su colaboracion para realizar revision del equipo con activo 152800006570 de la sede Cep barranquilla por motivo que la red esta intermitente y no funciona el telefono IP ni la impresora zebra que estan conectados a este equipo.
</t>
        </is>
      </c>
      <c r="G30" s="2" t="inlineStr">
        <is>
          <t>SERVICIOS DE TECNOLOGIA-SOPORTE EQUIPOS DE COMPUTO-FALLA</t>
        </is>
      </c>
      <c r="H30" s="2" t="inlineStr">
        <is>
          <t>Portal - Web</t>
        </is>
      </c>
      <c r="I30" s="2" t="inlineStr">
        <is>
          <t>Baja</t>
        </is>
      </c>
      <c r="J30" s="4">
        <v>46230.48570601852</v>
      </c>
      <c r="K30" s="2" t="inlineStr">
        <is>
          <t>JEISON ANDRES REYES ROMERO</t>
        </is>
      </c>
      <c r="L30" s="2" t="inlineStr">
        <is>
          <t>ZONA ORIENTE</t>
        </is>
      </c>
      <c r="M30" s="2" t="inlineStr">
        <is>
          <t>SERVICIOS DE TI</t>
        </is>
      </c>
      <c r="N30" s="2"/>
      <c r="O30" s="2" t="inlineStr">
        <is>
          <t>SALUD</t>
        </is>
      </c>
      <c r="P30" s="2"/>
      <c r="Q30" s="2" t="inlineStr">
        <is>
          <t>AGGEXM7CDZJ5AAT8U4JPT8U4JPFXKF</t>
        </is>
      </c>
      <c r="R30" s="2" t="inlineStr">
        <is>
          <t>a) 0-4</t>
        </is>
      </c>
      <c r="S30" s="2" t="inlineStr">
        <is>
          <t>-</t>
        </is>
      </c>
      <c r="T30" s="2" t="inlineStr">
        <is>
          <t>28/07/2026 17:39:25</t>
        </is>
      </c>
    </row>
    <row r="31">
      <c r="A31" s="2" t="inlineStr">
        <is>
          <t>🟢</t>
        </is>
      </c>
      <c r="B31" s="3" t="str">
        <f>HYPERLINK("https://compensar-smartit.onbmc.com/smartit/app/#/incident/IDGIBMZTENYZ6AT8U5RQT8U5RQPAD8","INC000000154342")</f>
        <v>INC000000154342</v>
      </c>
      <c r="C31" s="2" t="inlineStr">
        <is>
          <t>No</t>
        </is>
      </c>
      <c r="D31" s="2" t="inlineStr">
        <is>
          <t>Inconveniente carga de documentos Power BI -EVTT8</t>
        </is>
      </c>
      <c r="E31" s="2" t="inlineStr">
        <is>
          <t>Pendiente</t>
        </is>
      </c>
      <c r="F31" s="2" t="inlineStr">
        <is>
          <t>Usuario: DIANA CAROLINA HERNANDEZ BELTRAN
Informa: La usuaria se comunica con la Mesa de Servicio indicando que al abrir documentos de Power BI ubicados en una ruta compartida, el archivo queda en estado de carga y no avanza hasta mostrar un error. Se realizan validaciones de primer nivel sin solución del inconveniente.
Ubicación: Cra. 6
Tiempo: 12:04 27/07/2026
Impacto: Usuarios afectados 1
Placa de equipo: EVTT8
Evidencias:
1. Se recibió el reporte relacionado con la apertura de documentos de Power BI.
2. Se validó que los archivos ubicados en una ruta compartida quedan en estado de carga.
3. Se evidenció que posteriormente se genera un mensaje de error.
4. Se realizaron validaciones de primer nivel sobre el comportamiento reportado.
5. Se documentó la novedad para la gestión correspondiente.
6. Se registró la cédula de la usuaria: 53168211.
7. Se registró el teléfono de contacto: 3143218792.</t>
        </is>
      </c>
      <c r="G31" s="2" t="inlineStr">
        <is>
          <t>SERVICIOS DE TECNOLOGIA-ESCRITORIOS VIRTUALES-FALLA DE NAVEGACION</t>
        </is>
      </c>
      <c r="H31" s="2" t="inlineStr">
        <is>
          <t>Telefono</t>
        </is>
      </c>
      <c r="I31" s="2" t="inlineStr">
        <is>
          <t>Baja</t>
        </is>
      </c>
      <c r="J31" s="4">
        <v>46230.50962962963</v>
      </c>
      <c r="K31" s="2" t="inlineStr">
        <is>
          <t>FABIAN JESSID PASTRANA AGUIRRE</t>
        </is>
      </c>
      <c r="L31" s="2" t="inlineStr">
        <is>
          <t>SPT ESCRITORIO VIRTUAL</t>
        </is>
      </c>
      <c r="M31" s="2" t="inlineStr">
        <is>
          <t>SERVICIOS DE TI</t>
        </is>
      </c>
      <c r="N31" s="2" t="inlineStr">
        <is>
          <t>ESCRITORIO VIRTUAL</t>
        </is>
      </c>
      <c r="O31" s="2" t="inlineStr">
        <is>
          <t>SALUD</t>
        </is>
      </c>
      <c r="P31" s="2"/>
      <c r="Q31" s="2" t="inlineStr">
        <is>
          <t>IDGIBMZTENYZ6AT8U5RQT8U5RQPAD8</t>
        </is>
      </c>
      <c r="R31" s="2" t="inlineStr">
        <is>
          <t>a) 0-4</t>
        </is>
      </c>
      <c r="S31" s="2" t="inlineStr">
        <is>
          <t>28/07/2026 19:00:00</t>
        </is>
      </c>
      <c r="T31" s="2" t="inlineStr">
        <is>
          <t>-</t>
        </is>
      </c>
    </row>
    <row r="32">
      <c r="A32" s="2" t="inlineStr">
        <is>
          <t>🟢</t>
        </is>
      </c>
      <c r="B32" s="3" t="str">
        <f>HYPERLINK("https://compensar-smartit.onbmc.com/smartit/app/#/incident/AGGIBMZTENYZ6AT8UMHHT8UMHHWKB1","INC000000154368")</f>
        <v>INC000000154368</v>
      </c>
      <c r="C32" s="2" t="inlineStr">
        <is>
          <t>No</t>
        </is>
      </c>
      <c r="D32" s="2" t="inlineStr">
        <is>
          <t>Falla en Equipo</t>
        </is>
      </c>
      <c r="E32" s="2" t="inlineStr">
        <is>
          <t>En curso</t>
        </is>
      </c>
      <c r="F32" s="2" t="inlineStr">
        <is>
          <t>Ubicación para atención del Servicio: BLOQUE F TORRE F PISO 1 BODEGA - SALONES DE CAPACITACION
Número de contacto para la atención del servicio: 3208228050
Frente: CENTRO DE SERVICIOS COMPARTIDOS
Falla: NO ENCIENDE/NO FUNCIONA
¿Cual es el dispositivo que presenta la falla?: [PORTATIL/PC]
Nombre de equipo (inventario o placa): 910500003725
Descripción del incidente o falla: &lt;AGENTE VIRTUAL&gt; El equipo de mesa con número de activo 910500003725, esta lento, no tiene internet, se demora en abrir las aplicaciones, no cargan archivos. El equipo se encuentra ubicado en el Bloque F piso 1 - Escuela de Capacitación. La persona a cargo es Johan Olarte con telefono 3208228050.
</t>
        </is>
      </c>
      <c r="G32" s="2" t="inlineStr">
        <is>
          <t>SERVICIOS DE TECNOLOGIA-SOPORTE EQUIPOS DE COMPUTO-FALLA</t>
        </is>
      </c>
      <c r="H32" s="2" t="inlineStr">
        <is>
          <t>ChatBot</t>
        </is>
      </c>
      <c r="I32" s="2" t="inlineStr">
        <is>
          <t>Baja</t>
        </is>
      </c>
      <c r="J32" s="4">
        <v>46230.60466435185</v>
      </c>
      <c r="K32" s="2" t="inlineStr">
        <is>
          <t>DANIEL ALEJANDRO BORDA MESTIZO</t>
        </is>
      </c>
      <c r="L32" s="2" t="inlineStr">
        <is>
          <t>ZONA CENTRO</t>
        </is>
      </c>
      <c r="M32" s="2" t="inlineStr">
        <is>
          <t>SERVICIOS DE TI</t>
        </is>
      </c>
      <c r="N32" s="2"/>
      <c r="O32" s="2" t="inlineStr">
        <is>
          <t>CENTRO DE SERVICIOS COMPARTIDOS</t>
        </is>
      </c>
      <c r="P32" s="2"/>
      <c r="Q32" s="2" t="inlineStr">
        <is>
          <t>AGGIBMZTENYZ6AT8UMHHT8UMHHWKB1</t>
        </is>
      </c>
      <c r="R32" s="2" t="inlineStr">
        <is>
          <t>a) 0-4</t>
        </is>
      </c>
      <c r="S32" s="2" t="inlineStr">
        <is>
          <t>-</t>
        </is>
      </c>
      <c r="T32" s="2" t="inlineStr">
        <is>
          <t>29/07/2026 06:30:43</t>
        </is>
      </c>
    </row>
    <row r="33">
      <c r="A33" s="2" t="inlineStr">
        <is>
          <t>🟢</t>
        </is>
      </c>
      <c r="B33" s="3" t="str">
        <f>HYPERLINK("https://compensar-smartit.onbmc.com/smartit/app/#/incident/AGGIBMZTENYZ6AT8UMZIT8UMZIXRLO","INC000000154369")</f>
        <v>INC000000154369</v>
      </c>
      <c r="C33" s="2" t="inlineStr">
        <is>
          <t>No</t>
        </is>
      </c>
      <c r="D33" s="2" t="inlineStr">
        <is>
          <t>Falla en Equipo</t>
        </is>
      </c>
      <c r="E33" s="2" t="inlineStr">
        <is>
          <t>Pendiente</t>
        </is>
      </c>
      <c r="F33" s="2" t="inlineStr">
        <is>
          <t>Ubicación para atención del Servicio: US C42 TORRE A PISO 11 SALUD ORAL ADMINISTRACION
Número de contacto para la atención del servicio: 3213153071
Frente: SALUD
Falla: NO ENCIENDE/NO FUNCIONA
¿Cual es el dispositivo que presenta la falla?: [OTRO]
Nombre de equipo (inventario o placa): SOPRO
Descripción del incidente o falla: Buen dia
Agradezco su colaboración para realizar acompañamiento al equipo biomédico por parte del ingeniero de sistemas para realizar validaciones y pruebas en SOPRO., Salud oral compensar calle 42
</t>
        </is>
      </c>
      <c r="G33" s="2" t="inlineStr">
        <is>
          <t>SERVICIOS DE TECNOLOGIA-SOPORTE EQUIPOS DE COMPUTO-FALLA</t>
        </is>
      </c>
      <c r="H33" s="2" t="inlineStr">
        <is>
          <t>Portal - Web</t>
        </is>
      </c>
      <c r="I33" s="2" t="inlineStr">
        <is>
          <t>Baja</t>
        </is>
      </c>
      <c r="J33" s="4">
        <v>46230.61634259259</v>
      </c>
      <c r="K33" s="2" t="inlineStr">
        <is>
          <t>DAVID ESTEBAN DIAZ LLANOS</t>
        </is>
      </c>
      <c r="L33" s="2" t="inlineStr">
        <is>
          <t>SPT CABECERA CALLE 42</t>
        </is>
      </c>
      <c r="M33" s="2" t="inlineStr">
        <is>
          <t>SERVICIOS DE TI</t>
        </is>
      </c>
      <c r="N33" s="2"/>
      <c r="O33" s="2" t="inlineStr">
        <is>
          <t>SALUD</t>
        </is>
      </c>
      <c r="P33" s="2"/>
      <c r="Q33" s="2" t="inlineStr">
        <is>
          <t>AGGIBMZTENYZ6AT8UMZIT8UMZIXRLO</t>
        </is>
      </c>
      <c r="R33" s="2" t="inlineStr">
        <is>
          <t>a) 0-4</t>
        </is>
      </c>
      <c r="S33" s="2" t="inlineStr">
        <is>
          <t>28/07/2026 22:00:00</t>
        </is>
      </c>
      <c r="T33" s="2" t="inlineStr">
        <is>
          <t>-</t>
        </is>
      </c>
    </row>
    <row r="34">
      <c r="A34" s="2" t="inlineStr">
        <is>
          <t>🟢</t>
        </is>
      </c>
      <c r="B34" s="3" t="str">
        <f>HYPERLINK("https://compensar-smartit.onbmc.com/smartit/app/#/incident/IDGIBMZTENYZ6AT8UP9LT8UP9LC7GK","INC000000154381")</f>
        <v>INC000000154381</v>
      </c>
      <c r="C34" s="2" t="inlineStr">
        <is>
          <t>No</t>
        </is>
      </c>
      <c r="D34" s="2" t="inlineStr">
        <is>
          <t>FALLA DE ACCESO CORREO ELECRTONICO</t>
        </is>
      </c>
      <c r="E34" s="2" t="inlineStr">
        <is>
          <t>Asignado</t>
        </is>
      </c>
      <c r="F34" s="2" t="inlineStr">
        <is>
          <t>Aplicación:CORREO ELECTRONICO -C000426
Falla puntual:Lausuaria Yeimy Carolina Romero Gomezse comunica reportando fallas de acceso a correo electronico no carga el correo 
Medio de Ingreso del caso:Telefonico 
Ubicación del usuario: Fontibon - piso 2- Ventanilla 11
Cantidad de usuarios afectados (en número y letras):1
¿Afectación generada por RED?:NO 
¿Usa VPN?:NO 
Validación realizada en N1:Se toma remotamente el equipo y se genera borrado de temporales , actualización de políticas , validacion de antivirus , pero la falla persiste .</t>
        </is>
      </c>
      <c r="G34" s="2" t="inlineStr">
        <is>
          <t>SERVICIOS DE TECNOLOGIA-APLICACIONES DE NEGOCIO-FALLA</t>
        </is>
      </c>
      <c r="H34" s="2" t="inlineStr">
        <is>
          <t>Telefono</t>
        </is>
      </c>
      <c r="I34" s="2" t="inlineStr">
        <is>
          <t>Baja</t>
        </is>
      </c>
      <c r="J34" s="4">
        <v>46230.67322916666</v>
      </c>
      <c r="K34" s="2" t="inlineStr">
        <is>
          <t>NICK STEVE TRIANA LOPEZ</t>
        </is>
      </c>
      <c r="L34" s="2" t="inlineStr">
        <is>
          <t>ZONA OCCIDENTE</t>
        </is>
      </c>
      <c r="M34" s="2" t="inlineStr">
        <is>
          <t>SERVICIOS DE TI</t>
        </is>
      </c>
      <c r="N34" s="2" t="inlineStr">
        <is>
          <t>CORREO ELECTRONICO</t>
        </is>
      </c>
      <c r="O34" s="2" t="inlineStr">
        <is>
          <t>SALUD</t>
        </is>
      </c>
      <c r="P34" s="2"/>
      <c r="Q34" s="2" t="inlineStr">
        <is>
          <t>IDGIBMZTENYZ6AT8UP9LT8UP9LC7GK</t>
        </is>
      </c>
      <c r="R34" s="2" t="inlineStr">
        <is>
          <t>a) 0-4</t>
        </is>
      </c>
      <c r="S34" s="2" t="inlineStr">
        <is>
          <t>-</t>
        </is>
      </c>
      <c r="T34" s="2" t="inlineStr">
        <is>
          <t>29/07/2026 08:09:27</t>
        </is>
      </c>
    </row>
    <row r="35">
      <c r="A35" s="2" t="inlineStr">
        <is>
          <t>🟢</t>
        </is>
      </c>
      <c r="B35" s="3" t="str">
        <f>HYPERLINK("https://compensar-smartit.onbmc.com/smartit/app/#/incident/IDGIBMZTENYZ6AT8UQUXT8UQUXEL3Y","INC000000154387")</f>
        <v>INC000000154387</v>
      </c>
      <c r="C35" s="2" t="inlineStr">
        <is>
          <t>No</t>
        </is>
      </c>
      <c r="D35" s="2" t="inlineStr">
        <is>
          <t>configuración red libre en el equipo</t>
        </is>
      </c>
      <c r="E35" s="2" t="inlineStr">
        <is>
          <t>Asignado</t>
        </is>
      </c>
      <c r="F35" s="2" t="inlineStr">
        <is>
          <t>usuario:Melissa Medina Caceres
CC: 1022343582
Tel:3228694892
Correo:APROAC@compensar.com
Informa:usuaria solicita que se le ayude en sitio con la instalación de las extenciones de python pero requiere que se le ayude a conectar a red libre ya que por la red de compensar no le permite
Ubicación:  SEDE EMPRESARIAL torre A piso 3
Tiempo:3:36 p. m. 27/07/2026
Impacto:  1
Evidencias:</t>
        </is>
      </c>
      <c r="G35" s="2" t="inlineStr">
        <is>
          <t>SERVICIOS DE TECNOLOGIA-SOPORTE EQUIPOS DE COMPUTO-FALLA</t>
        </is>
      </c>
      <c r="H35" s="2" t="inlineStr">
        <is>
          <t>Chat</t>
        </is>
      </c>
      <c r="I35" s="2" t="inlineStr">
        <is>
          <t>Baja</t>
        </is>
      </c>
      <c r="J35" s="4">
        <v>46230.68150462963</v>
      </c>
      <c r="K35" s="2" t="inlineStr">
        <is>
          <t>DANIEL ALEJANDRO BORDA MESTIZO</t>
        </is>
      </c>
      <c r="L35" s="2" t="inlineStr">
        <is>
          <t>ZONA CENTRO</t>
        </is>
      </c>
      <c r="M35" s="2" t="inlineStr">
        <is>
          <t>SERVICIOS DE TI</t>
        </is>
      </c>
      <c r="N35" s="2"/>
      <c r="O35" s="2" t="inlineStr">
        <is>
          <t>ANALITICA</t>
        </is>
      </c>
      <c r="P35" s="2"/>
      <c r="Q35" s="2" t="inlineStr">
        <is>
          <t>IDGIBMZTENYZ6AT8UQUXT8UQUXEL3Y</t>
        </is>
      </c>
      <c r="R35" s="2" t="inlineStr">
        <is>
          <t>a) 0-4</t>
        </is>
      </c>
      <c r="S35" s="2" t="inlineStr">
        <is>
          <t>-</t>
        </is>
      </c>
      <c r="T35" s="2" t="inlineStr">
        <is>
          <t>29/07/2026 08:21:22</t>
        </is>
      </c>
    </row>
    <row r="36">
      <c r="A36" s="2" t="inlineStr">
        <is>
          <t>🟢</t>
        </is>
      </c>
      <c r="B36" s="3" t="str">
        <f>HYPERLINK("https://compensar-smartit.onbmc.com/smartit/app/#/incident/IDGIBMZTENYZ6AT8URZOT8URZOGJZX","INC000000154389")</f>
        <v>INC000000154389</v>
      </c>
      <c r="C36" s="2" t="inlineStr">
        <is>
          <t>No</t>
        </is>
      </c>
      <c r="D36" s="2" t="inlineStr">
        <is>
          <t>Falla Teclado, las teclas estan muy borrosas</t>
        </is>
      </c>
      <c r="E36" s="2" t="inlineStr">
        <is>
          <t>Pendiente</t>
        </is>
      </c>
      <c r="F36" s="2" t="inlineStr">
        <is>
          <t>Usuario: Paola Marcela Hernandez Saavedra
Informa: Falla Teclado, las teclas estan muy borrosas. Usuaria: Angelica Jimenez Cel: 3114686519
Ubicación: Subachoque, Piso 1
Tiempo: 1 dia
Impacto: 1 Usuario</t>
        </is>
      </c>
      <c r="G36" s="2" t="inlineStr">
        <is>
          <t>SERVICIOS DE TECNOLOGIA-SOPORTE EQUIPOS DE COMPUTO-FALLA</t>
        </is>
      </c>
      <c r="H36" s="2" t="inlineStr">
        <is>
          <t>Telefono</t>
        </is>
      </c>
      <c r="I36" s="2" t="inlineStr">
        <is>
          <t>Baja</t>
        </is>
      </c>
      <c r="J36" s="4">
        <v>46230.69247685185</v>
      </c>
      <c r="K36" s="2" t="inlineStr">
        <is>
          <t>CARLOS IVAN CUCANCHON CARRILLO</t>
        </is>
      </c>
      <c r="L36" s="2" t="inlineStr">
        <is>
          <t>SPT CABECERA CALLE 94</t>
        </is>
      </c>
      <c r="M36" s="2" t="inlineStr">
        <is>
          <t>SERVICIOS DE TI</t>
        </is>
      </c>
      <c r="N36" s="2" t="inlineStr">
        <is>
          <t>P000158</t>
        </is>
      </c>
      <c r="O36" s="2" t="inlineStr">
        <is>
          <t>SALUD</t>
        </is>
      </c>
      <c r="P36" s="2"/>
      <c r="Q36" s="2" t="inlineStr">
        <is>
          <t>IDGIBMZTENYZ6AT8URZOT8URZOGJZX</t>
        </is>
      </c>
      <c r="R36" s="2" t="inlineStr">
        <is>
          <t>a) 0-4</t>
        </is>
      </c>
      <c r="S36" s="2" t="inlineStr">
        <is>
          <t>29/07/2026 13:00:00</t>
        </is>
      </c>
      <c r="T36" s="2" t="inlineStr">
        <is>
          <t>-</t>
        </is>
      </c>
    </row>
    <row r="37">
      <c r="A37" s="2" t="inlineStr">
        <is>
          <t>🟢</t>
        </is>
      </c>
      <c r="B37" s="3" t="str">
        <f>HYPERLINK("https://compensar-smartit.onbmc.com/smartit/app/#/incident/IDGIBMZTENYZ6AT8US12T8US12GSKT","INC000000154390")</f>
        <v>INC000000154390</v>
      </c>
      <c r="C37" s="2" t="inlineStr">
        <is>
          <t>No</t>
        </is>
      </c>
      <c r="D37" s="2" t="inlineStr">
        <is>
          <t>Falla Teclados, las teclas estan Borrosas</t>
        </is>
      </c>
      <c r="E37" s="2" t="inlineStr">
        <is>
          <t>Pendiente</t>
        </is>
      </c>
      <c r="F37" s="2" t="inlineStr">
        <is>
          <t>Informa: Falla Teclados, las teclas estan Borrosas,
Usuaria: Mayra Alejandra Cabrera Cel: 3214740062  - Ubate, Piso 1, Gestor integral
Usuaria: Claudia Liliana Peña Cel: 3112355063  - Ubate Piso1 , Atención al usuario
Usuaria: Julienth Katherin Gutierrez Cel: 3212066973 - Ubate, Piso 1, Aux Pai
Ubicación: Ubate, Piso 1
Tiempo: 1 dia
Impacto: 1 Usuario</t>
        </is>
      </c>
      <c r="G37" s="2" t="inlineStr">
        <is>
          <t>SERVICIOS DE TECNOLOGIA-SOPORTE EQUIPOS DE COMPUTO-FALLA</t>
        </is>
      </c>
      <c r="H37" s="2" t="inlineStr">
        <is>
          <t>Telefono</t>
        </is>
      </c>
      <c r="I37" s="2" t="inlineStr">
        <is>
          <t>Baja</t>
        </is>
      </c>
      <c r="J37" s="4">
        <v>46230.69988425926</v>
      </c>
      <c r="K37" s="2" t="inlineStr">
        <is>
          <t>CARLOS IVAN CUCANCHON CARRILLO</t>
        </is>
      </c>
      <c r="L37" s="2" t="inlineStr">
        <is>
          <t>SPT CABECERA CALLE 94</t>
        </is>
      </c>
      <c r="M37" s="2" t="inlineStr">
        <is>
          <t>SERVICIOS DE TI</t>
        </is>
      </c>
      <c r="N37" s="2" t="inlineStr">
        <is>
          <t>P000158</t>
        </is>
      </c>
      <c r="O37" s="2" t="inlineStr">
        <is>
          <t>SALUD</t>
        </is>
      </c>
      <c r="P37" s="2"/>
      <c r="Q37" s="2" t="inlineStr">
        <is>
          <t>IDGIBMZTENYZ6AT8US12T8US12GSKT</t>
        </is>
      </c>
      <c r="R37" s="2" t="inlineStr">
        <is>
          <t>a) 0-4</t>
        </is>
      </c>
      <c r="S37" s="2" t="inlineStr">
        <is>
          <t>29/07/2026 13:00:00</t>
        </is>
      </c>
      <c r="T37" s="2" t="inlineStr">
        <is>
          <t>-</t>
        </is>
      </c>
    </row>
    <row r="38">
      <c r="A38" s="2" t="inlineStr">
        <is>
          <t>🟢</t>
        </is>
      </c>
      <c r="B38" s="3" t="str">
        <f>HYPERLINK("https://compensar-smartit.onbmc.com/smartit/app/#/incident/IDGIBMZTENYZ6AT8USLXT8USLXHJLF","INC000000154391")</f>
        <v>INC000000154391</v>
      </c>
      <c r="C38" s="2" t="inlineStr">
        <is>
          <t>No</t>
        </is>
      </c>
      <c r="D38" s="2" t="inlineStr">
        <is>
          <t>Falla Teclado, las teclas se traban y estan Borrosas</t>
        </is>
      </c>
      <c r="E38" s="2" t="inlineStr">
        <is>
          <t>Pendiente</t>
        </is>
      </c>
      <c r="F38" s="2" t="inlineStr">
        <is>
          <t>Usuario: Paola Marcela Hernandez Saavedra
Informa: Falla Teclado, las teclas se traban y estan Borrosas. Usuaria: Eliana Mamian Cel: 3203225355
Ubicación: La mesa, Piso 1
Tiempo: 1 dia
Impacto: 1 Usuario</t>
        </is>
      </c>
      <c r="G38" s="2" t="inlineStr">
        <is>
          <t>SERVICIOS DE TECNOLOGIA-SOPORTE EQUIPOS DE COMPUTO-FALLA</t>
        </is>
      </c>
      <c r="H38" s="2" t="inlineStr">
        <is>
          <t>Telefono</t>
        </is>
      </c>
      <c r="I38" s="2" t="inlineStr">
        <is>
          <t>Baja</t>
        </is>
      </c>
      <c r="J38" s="4">
        <v>46230.70481481482</v>
      </c>
      <c r="K38" s="2" t="inlineStr">
        <is>
          <t>CARLOS IVAN CUCANCHON CARRILLO</t>
        </is>
      </c>
      <c r="L38" s="2" t="inlineStr">
        <is>
          <t>SPT CABECERA CALLE 94</t>
        </is>
      </c>
      <c r="M38" s="2" t="inlineStr">
        <is>
          <t>SERVICIOS DE TI</t>
        </is>
      </c>
      <c r="N38" s="2" t="inlineStr">
        <is>
          <t>P000158</t>
        </is>
      </c>
      <c r="O38" s="2" t="inlineStr">
        <is>
          <t>SALUD</t>
        </is>
      </c>
      <c r="P38" s="2"/>
      <c r="Q38" s="2" t="inlineStr">
        <is>
          <t>IDGIBMZTENYZ6AT8USLXT8USLXHJLF</t>
        </is>
      </c>
      <c r="R38" s="2" t="inlineStr">
        <is>
          <t>a) 0-4</t>
        </is>
      </c>
      <c r="S38" s="2" t="inlineStr">
        <is>
          <t>29/07/2026 13:00:00</t>
        </is>
      </c>
      <c r="T38" s="2" t="inlineStr">
        <is>
          <t>-</t>
        </is>
      </c>
    </row>
    <row r="39">
      <c r="A39" s="2" t="inlineStr">
        <is>
          <t>🟢</t>
        </is>
      </c>
      <c r="B39" s="3" t="str">
        <f>HYPERLINK("https://compensar-smartit.onbmc.com/smartit/app/#/incident/IDGIBMZTENYZ6AT8USXGT8USXGHOIN","INC000000154392")</f>
        <v>INC000000154392</v>
      </c>
      <c r="C39" s="2" t="inlineStr">
        <is>
          <t>No</t>
        </is>
      </c>
      <c r="D39" s="2" t="inlineStr">
        <is>
          <t>Falla Teclado y mouse, se queda pegado el clic y las teclas estan borrosas</t>
        </is>
      </c>
      <c r="E39" s="2" t="inlineStr">
        <is>
          <t>Pendiente</t>
        </is>
      </c>
      <c r="F39" s="2" t="inlineStr">
        <is>
          <t>Usuario: Paola Marcela Hernandez Saavedra
Informa: Falla Teclado y mouse, se queda pegado el clic y las teclas estan borrosas. Usuaria: Alix Alvarez Cel: 3178408024
Ubicación: Medellin, Piso 3, Gestor integral
Tiempo: 1 dia
Impacto: 1 Usuario</t>
        </is>
      </c>
      <c r="G39" s="2" t="inlineStr">
        <is>
          <t>SERVICIOS DE TECNOLOGIA-SOPORTE EQUIPOS DE COMPUTO-FALLA</t>
        </is>
      </c>
      <c r="H39" s="2" t="inlineStr">
        <is>
          <t>Telefono</t>
        </is>
      </c>
      <c r="I39" s="2" t="inlineStr">
        <is>
          <t>Baja</t>
        </is>
      </c>
      <c r="J39" s="4">
        <v>46230.707719907405</v>
      </c>
      <c r="K39" s="2" t="inlineStr">
        <is>
          <t>CARLOS IVAN CUCANCHON CARRILLO</t>
        </is>
      </c>
      <c r="L39" s="2" t="inlineStr">
        <is>
          <t>SPT CABECERA CALLE 94</t>
        </is>
      </c>
      <c r="M39" s="2" t="inlineStr">
        <is>
          <t>SERVICIOS DE TI</t>
        </is>
      </c>
      <c r="N39" s="2" t="inlineStr">
        <is>
          <t>P000158</t>
        </is>
      </c>
      <c r="O39" s="2" t="inlineStr">
        <is>
          <t>SALUD</t>
        </is>
      </c>
      <c r="P39" s="2"/>
      <c r="Q39" s="2" t="inlineStr">
        <is>
          <t>IDGIBMZTENYZ6AT8USXGT8USXGHOIN</t>
        </is>
      </c>
      <c r="R39" s="2" t="inlineStr">
        <is>
          <t>a) 0-4</t>
        </is>
      </c>
      <c r="S39" s="2" t="inlineStr">
        <is>
          <t>29/07/2026 13:00:00</t>
        </is>
      </c>
      <c r="T39" s="2" t="inlineStr">
        <is>
          <t>-</t>
        </is>
      </c>
    </row>
    <row r="40">
      <c r="A40" s="2" t="inlineStr">
        <is>
          <t>🟢</t>
        </is>
      </c>
      <c r="B40" s="3" t="str">
        <f>HYPERLINK("https://compensar-smartit.onbmc.com/smartit/app/#/incident/IDGIBMZTENYZ6AT8UTF3T8UTF3HYZ1","INC000000154394")</f>
        <v>INC000000154394</v>
      </c>
      <c r="C40" s="2" t="inlineStr">
        <is>
          <t>No</t>
        </is>
      </c>
      <c r="D40" s="2" t="inlineStr">
        <is>
          <t>Falla mouse, se queda pegado el clic y la bolita se subir y bajar</t>
        </is>
      </c>
      <c r="E40" s="2" t="inlineStr">
        <is>
          <t>Pendiente</t>
        </is>
      </c>
      <c r="F40" s="2" t="inlineStr">
        <is>
          <t>Usuario: Paola Marcela Hernandez Saavedra
Informa: Falla mouse, se queda pegado el clic y la bolita se subir y bajar. Usuaria: Ginna Paola Garzón Cel: 3133257922
Ubicación: Sibate, Piso 1, Gestor integral
Tiempo: 1 dia
Impacto: 1 Usuario</t>
        </is>
      </c>
      <c r="G40" s="2" t="inlineStr">
        <is>
          <t>SERVICIOS DE TECNOLOGIA-SOPORTE EQUIPOS DE COMPUTO-FALLA</t>
        </is>
      </c>
      <c r="H40" s="2" t="inlineStr">
        <is>
          <t>Telefono</t>
        </is>
      </c>
      <c r="I40" s="2" t="inlineStr">
        <is>
          <t>Baja</t>
        </is>
      </c>
      <c r="J40" s="4">
        <v>46230.71103009259</v>
      </c>
      <c r="K40" s="2" t="inlineStr">
        <is>
          <t>CARLOS IVAN CUCANCHON CARRILLO</t>
        </is>
      </c>
      <c r="L40" s="2" t="inlineStr">
        <is>
          <t>SPT CABECERA CALLE 94</t>
        </is>
      </c>
      <c r="M40" s="2" t="inlineStr">
        <is>
          <t>SERVICIOS DE TI</t>
        </is>
      </c>
      <c r="N40" s="2" t="inlineStr">
        <is>
          <t>519500004616</t>
        </is>
      </c>
      <c r="O40" s="2" t="inlineStr">
        <is>
          <t>SALUD</t>
        </is>
      </c>
      <c r="P40" s="2"/>
      <c r="Q40" s="2" t="inlineStr">
        <is>
          <t>IDGIBMZTENYZ6AT8UTF3T8UTF3HYZ1</t>
        </is>
      </c>
      <c r="R40" s="2" t="inlineStr">
        <is>
          <t>a) 0-4</t>
        </is>
      </c>
      <c r="S40" s="2" t="inlineStr">
        <is>
          <t>29/07/2026 13:00:00</t>
        </is>
      </c>
      <c r="T40" s="2" t="inlineStr">
        <is>
          <t>-</t>
        </is>
      </c>
    </row>
    <row r="41">
      <c r="A41" s="2" t="inlineStr">
        <is>
          <t>🟢</t>
        </is>
      </c>
      <c r="B41" s="3" t="str">
        <f>HYPERLINK("https://compensar-smartit.onbmc.com/smartit/app/#/incident/IDGEXM7CDZJ5AAT8U927T8U9272G14","INC000000154415")</f>
        <v>INC000000154415</v>
      </c>
      <c r="C41" s="2" t="inlineStr">
        <is>
          <t>No</t>
        </is>
      </c>
      <c r="D41" s="2" t="inlineStr">
        <is>
          <t>Lentitud en rendimiento y daño en equipo</t>
        </is>
      </c>
      <c r="E41" s="2" t="inlineStr">
        <is>
          <t>Asignado</t>
        </is>
      </c>
      <c r="F41" s="2" t="inlineStr">
        <is>
          <t>Usuario        : Angela Morales
CC             : 52120549
Tel            : 3003531651
Informa        : La colaboradora reporta falla de rendimiento en el equipo. Adicionalmente, se valida que el equipo presenta una abolladura en la parte posterior; la colaboradora indica que el equipo se abrió de manera espontánea.
Ubicación      : Sede sitio Calle 68
Tiempo         : 1:45 p. m. 27/07/2026
Impacto        : 1
 Activo: P016940
Evidencias     :
                 1. Se realizan validaciones para rendimiento y conexion inet,usuario solicita verificacion ya que fallas se presentan con frecuencia.
                 2. Se adjunta imagen.</t>
        </is>
      </c>
      <c r="G41" s="2" t="inlineStr">
        <is>
          <t>SERVICIOS DE TECNOLOGIA-SOPORTE EQUIPOS DE COMPUTO-LENTITUD</t>
        </is>
      </c>
      <c r="H41" s="2" t="inlineStr">
        <is>
          <t>Telefono</t>
        </is>
      </c>
      <c r="I41" s="2" t="inlineStr">
        <is>
          <t>Baja</t>
        </is>
      </c>
      <c r="J41" s="4">
        <v>46230.57362268519</v>
      </c>
      <c r="K41" s="2" t="inlineStr">
        <is>
          <t>ANDERSON JULIAN RATIVA RAMIREZ</t>
        </is>
      </c>
      <c r="L41" s="2" t="inlineStr">
        <is>
          <t>ZONA CENTRO</t>
        </is>
      </c>
      <c r="M41" s="2" t="inlineStr">
        <is>
          <t>SERVICIOS DE TI</t>
        </is>
      </c>
      <c r="N41" s="2" t="inlineStr">
        <is>
          <t>P016940</t>
        </is>
      </c>
      <c r="O41" s="2" t="inlineStr">
        <is>
          <t>BIENESTAR Y DESARROLLO SOCIAL</t>
        </is>
      </c>
      <c r="P41" s="2"/>
      <c r="Q41" s="2" t="inlineStr">
        <is>
          <t>IDGEXM7CDZJ5AAT8U927T8U9272G14</t>
        </is>
      </c>
      <c r="R41" s="2" t="inlineStr">
        <is>
          <t>a) 0-4</t>
        </is>
      </c>
      <c r="S41" s="2" t="inlineStr">
        <is>
          <t>-</t>
        </is>
      </c>
      <c r="T41" s="2" t="inlineStr">
        <is>
          <t>28/07/2026 19:46:01</t>
        </is>
      </c>
    </row>
    <row r="42">
      <c r="A42" s="2" t="inlineStr">
        <is>
          <t>🟢</t>
        </is>
      </c>
      <c r="B42" s="3" t="str">
        <f>HYPERLINK("https://compensar-smartit.onbmc.com/smartit/app/#/incident/IDGEXM7CDZJ5AAT8UL36T8UL364A4Z","INC000000154419")</f>
        <v>INC000000154419</v>
      </c>
      <c r="C42" s="2" t="inlineStr">
        <is>
          <t>No</t>
        </is>
      </c>
      <c r="D42" s="2" t="inlineStr">
        <is>
          <t>Falla Equipo - No cargan aplicaciones - Genera lentitud</t>
        </is>
      </c>
      <c r="E42" s="2" t="inlineStr">
        <is>
          <t>Asignado</t>
        </is>
      </c>
      <c r="F42" s="2" t="inlineStr">
        <is>
          <t>Usuario: Liz Adriana Gomez Rodriguez
Informa: Falla Equipo - No carga - Genera lentitud
Ubicación: Movilidad
Tiempo: 2pm
Impacto: 1Usuario
Evidencias: No aplica
Se intenta tomar equipo remoto por Asistencia rápida y por Teams, pero no conecta, Se requiere validar en sitio.</t>
        </is>
      </c>
      <c r="G42" s="2" t="inlineStr">
        <is>
          <t>SERVICIOS DE TECNOLOGIA-SOPORTE EQUIPOS DE COMPUTO-FALLA DEL SISTEMA OPERATIVO</t>
        </is>
      </c>
      <c r="H42" s="2" t="inlineStr">
        <is>
          <t>Telefono</t>
        </is>
      </c>
      <c r="I42" s="2" t="inlineStr">
        <is>
          <t>Baja</t>
        </is>
      </c>
      <c r="J42" s="4">
        <v>46230.60061342592</v>
      </c>
      <c r="K42" s="2" t="inlineStr">
        <is>
          <t>ANDERSON JULIAN RATIVA RAMIREZ</t>
        </is>
      </c>
      <c r="L42" s="2" t="inlineStr">
        <is>
          <t>ZONA CENTRO</t>
        </is>
      </c>
      <c r="M42" s="2" t="inlineStr">
        <is>
          <t>SERVICIOS DE TI</t>
        </is>
      </c>
      <c r="N42" s="2"/>
      <c r="O42" s="2" t="inlineStr">
        <is>
          <t>CLIENTES</t>
        </is>
      </c>
      <c r="P42" s="2"/>
      <c r="Q42" s="2" t="inlineStr">
        <is>
          <t>IDGEXM7CDZJ5AAT8UL36T8UL364A4Z</t>
        </is>
      </c>
      <c r="R42" s="2" t="inlineStr">
        <is>
          <t>a) 0-4</t>
        </is>
      </c>
      <c r="S42" s="2" t="inlineStr">
        <is>
          <t>-</t>
        </is>
      </c>
      <c r="T42" s="2" t="inlineStr">
        <is>
          <t>29/07/2026 06:24:53</t>
        </is>
      </c>
    </row>
    <row r="43">
      <c r="A43" s="2" t="inlineStr">
        <is>
          <t>🟢</t>
        </is>
      </c>
      <c r="B43" s="3" t="str">
        <f>HYPERLINK("https://compensar-smartit.onbmc.com/smartit/app/#/incident/AGGEXM7CDZJ5AAT8UNXST8UNXS779Q","INC000000154426")</f>
        <v>INC000000154426</v>
      </c>
      <c r="C43" s="2" t="inlineStr">
        <is>
          <t>No</t>
        </is>
      </c>
      <c r="D43" s="2" t="inlineStr">
        <is>
          <t>Falla en Equipo</t>
        </is>
      </c>
      <c r="E43" s="2" t="inlineStr">
        <is>
          <t>En curso</t>
        </is>
      </c>
      <c r="F43" s="2" t="inlineStr">
        <is>
          <t>Ubicación para atención del Servicio: BLOQUE F TORRE F PISO 3 CONVENIOS COMEDORES ESCOLARES
Número de contacto para la atención del servicio: 3118246016
Frente: BIENESTAR Y DESARROLLO SOCIAL
Falla: DAÑO FISICO
¿Cual es el dispositivo que presenta la falla?: [TECLADO]
Nombre de equipo (inventario o placa): PORTATIL P009536
Descripción del incidente o falla: Buenas tardes,
Agradecemos de su apoyo con la revisión del teclado de la colaboradora Alejenadra Chacón dado a que las teclas se encuentran sueltas
Gracias
Adjunto: [AGGEXM7CDZJ5AAT8UNXMT8UNXM77GX, AGGEXM7CDZJ5AAT8UNXNT8UNXN77HJ]
</t>
        </is>
      </c>
      <c r="G43" s="2" t="inlineStr">
        <is>
          <t>SERVICIOS DE TECNOLOGIA-SOPORTE EQUIPOS DE COMPUTO-FALLA</t>
        </is>
      </c>
      <c r="H43" s="2" t="inlineStr">
        <is>
          <t>Portal - Web</t>
        </is>
      </c>
      <c r="I43" s="2" t="inlineStr">
        <is>
          <t>Baja</t>
        </is>
      </c>
      <c r="J43" s="4">
        <v>46230.630740740744</v>
      </c>
      <c r="K43" s="2" t="inlineStr">
        <is>
          <t>KEVIN ALEXIS GARCIA GUARACA</t>
        </is>
      </c>
      <c r="L43" s="2" t="inlineStr">
        <is>
          <t>ZONA CENTRO</t>
        </is>
      </c>
      <c r="M43" s="2" t="inlineStr">
        <is>
          <t>SERVICIOS DE TI</t>
        </is>
      </c>
      <c r="N43" s="2"/>
      <c r="O43" s="2" t="inlineStr">
        <is>
          <t>BIENESTAR Y DESARROLLO SOCIAL</t>
        </is>
      </c>
      <c r="P43" s="2"/>
      <c r="Q43" s="2" t="inlineStr">
        <is>
          <t>AGGEXM7CDZJ5AAT8UNXST8UNXS779Q</t>
        </is>
      </c>
      <c r="R43" s="2" t="inlineStr">
        <is>
          <t>a) 0-4</t>
        </is>
      </c>
      <c r="S43" s="2" t="inlineStr">
        <is>
          <t>-</t>
        </is>
      </c>
      <c r="T43" s="2" t="inlineStr">
        <is>
          <t>29/07/2026 07:08:16</t>
        </is>
      </c>
    </row>
    <row r="44">
      <c r="A44" s="2" t="inlineStr">
        <is>
          <t>🟢</t>
        </is>
      </c>
      <c r="B44" s="3" t="str">
        <f>HYPERLINK("https://compensar-smartit.onbmc.com/smartit/app/#/incident/AGGEXM7CDZJ5AAT8UQPET8UQPEM4TW","INC000000154436")</f>
        <v>INC000000154436</v>
      </c>
      <c r="C44" s="2" t="inlineStr">
        <is>
          <t>No</t>
        </is>
      </c>
      <c r="D44" s="2" t="inlineStr">
        <is>
          <t>Fallas de acceso a escritorio virtual</t>
        </is>
      </c>
      <c r="E44" s="2" t="inlineStr">
        <is>
          <t>Pendiente</t>
        </is>
      </c>
      <c r="F44" s="2" t="inlineStr">
        <is>
          <t>Ubicación para atención del Servicio: LOS COBOS MC
Número de contacto para la atención del servicio: 3165202720
Frente: SALUD
Aplicación Afectada: ESCRITORIO VIRTUAL
Numero de Usuarios Afectados: 1
Fecha y hora en que se presenta el incidente:: 2026-07-27T21:05:00.000Z
Proceso al que pertenece (Sigla – Nombre): pss 140
¿En qué sección de la aplicación ocurre el Error?: [MÓDULO]
¿Es Recurrente el Error?: SI
Recurrencia (en horas, días, meses): no permite el ingreso hace 2 dias
El error es: TODA LA APLICACIÓN
¿Bajo qué casos particulares se presenta el error?: cuando va acceder al escritorio remoto
Escriba detalladamente el error donde clarifique el flujo paso a paso de cómo se presentó: la doctora va a ingresar al equipo donde trabaja y le sale error escritorio remoto no encuentra el equipo
Adjunto: [AGGEXM7CDZJ5AAT8UQOPT8UQOPM414, AGGEXM7CDZJ5AAT8UQONT8UQONM4IZ, AGGEXM7CDZJ5AAT8UQONT8UQONM4JY]
</t>
        </is>
      </c>
      <c r="G44" s="2" t="inlineStr">
        <is>
          <t>SERVICIOS DE TECNOLOGIA-ESCRITORIOS VIRTUALES-CONEXION FALLIDA</t>
        </is>
      </c>
      <c r="H44" s="2" t="inlineStr">
        <is>
          <t>Portal - Web</t>
        </is>
      </c>
      <c r="I44" s="2" t="inlineStr">
        <is>
          <t>Baja</t>
        </is>
      </c>
      <c r="J44" s="4">
        <v>46230.67212962963</v>
      </c>
      <c r="K44" s="2" t="inlineStr">
        <is>
          <t>FABIAN JESSID PASTRANA AGUIRRE</t>
        </is>
      </c>
      <c r="L44" s="2" t="inlineStr">
        <is>
          <t>SPT ESCRITORIO VIRTUAL</t>
        </is>
      </c>
      <c r="M44" s="2" t="inlineStr">
        <is>
          <t>SERVICIOS DE TI</t>
        </is>
      </c>
      <c r="N44" s="2" t="inlineStr">
        <is>
          <t>ESCRITORIO VIRTUAL</t>
        </is>
      </c>
      <c r="O44" s="2" t="inlineStr">
        <is>
          <t>SALUD</t>
        </is>
      </c>
      <c r="P44" s="2"/>
      <c r="Q44" s="2" t="inlineStr">
        <is>
          <t>AGGEXM7CDZJ5AAT8UQPET8UQPEM4TW</t>
        </is>
      </c>
      <c r="R44" s="2" t="inlineStr">
        <is>
          <t>a) 0-4</t>
        </is>
      </c>
      <c r="S44" s="2" t="inlineStr">
        <is>
          <t>28/07/2026 19:00:00</t>
        </is>
      </c>
      <c r="T44" s="2" t="inlineStr">
        <is>
          <t>-</t>
        </is>
      </c>
    </row>
    <row r="45">
      <c r="A45" s="2" t="inlineStr">
        <is>
          <t>🟢</t>
        </is>
      </c>
      <c r="B45" s="3" t="str">
        <f>HYPERLINK("https://compensar-smartit.onbmc.com/smartit/app/#/incident/IDGEXM7CDZJ5AAT8UR31T8UR31NJKK","INC000000154440")</f>
        <v>INC000000154440</v>
      </c>
      <c r="C45" s="2" t="inlineStr">
        <is>
          <t>No</t>
        </is>
      </c>
      <c r="D45" s="2" t="inlineStr">
        <is>
          <t>Falla Teclado, las teclas se pegan y no se ven las teclas. Usuaria</t>
        </is>
      </c>
      <c r="E45" s="2" t="inlineStr">
        <is>
          <t>Pendiente</t>
        </is>
      </c>
      <c r="F45" s="2" t="inlineStr">
        <is>
          <t>Usuario: Paola Marcela Hernandez Saavedra
Informa: Falla Teclado, las teclas se pegan y no se ven las teclas. Usuaria: Sandra Collazos Cel: 3204902981
Ubicación: La mesa cundinamarca, piso 1
Tiempo: 1 dia
Impacto: 1 Usuario</t>
        </is>
      </c>
      <c r="G45" s="2" t="inlineStr">
        <is>
          <t>SERVICIOS DE TECNOLOGIA-SOPORTE EQUIPOS DE COMPUTO-FALLA</t>
        </is>
      </c>
      <c r="H45" s="2" t="inlineStr">
        <is>
          <t>Telefono</t>
        </is>
      </c>
      <c r="I45" s="2" t="inlineStr">
        <is>
          <t>Baja</t>
        </is>
      </c>
      <c r="J45" s="4">
        <v>46230.68350694444</v>
      </c>
      <c r="K45" s="2" t="inlineStr">
        <is>
          <t>CARLOS IVAN CUCANCHON CARRILLO</t>
        </is>
      </c>
      <c r="L45" s="2" t="inlineStr">
        <is>
          <t>SPT CABECERA CALLE 94</t>
        </is>
      </c>
      <c r="M45" s="2" t="inlineStr">
        <is>
          <t>SERVICIOS DE TI</t>
        </is>
      </c>
      <c r="N45" s="2" t="inlineStr">
        <is>
          <t>P000158</t>
        </is>
      </c>
      <c r="O45" s="2" t="inlineStr">
        <is>
          <t>SALUD</t>
        </is>
      </c>
      <c r="P45" s="2"/>
      <c r="Q45" s="2" t="inlineStr">
        <is>
          <t>IDGEXM7CDZJ5AAT8UR31T8UR31NJKK</t>
        </is>
      </c>
      <c r="R45" s="2" t="inlineStr">
        <is>
          <t>a) 0-4</t>
        </is>
      </c>
      <c r="S45" s="2" t="inlineStr">
        <is>
          <t>29/07/2026 13:00:00</t>
        </is>
      </c>
      <c r="T45" s="2" t="inlineStr">
        <is>
          <t>-</t>
        </is>
      </c>
    </row>
    <row r="46">
      <c r="A46" s="2" t="inlineStr">
        <is>
          <t>🟢</t>
        </is>
      </c>
      <c r="B46" s="3" t="str">
        <f>HYPERLINK("https://compensar-smartit.onbmc.com/smartit/app/#/incident/IDGEXM7CDZJ5AAT8UR8OT8UR8ON40U","INC000000154441")</f>
        <v>INC000000154441</v>
      </c>
      <c r="C46" s="2" t="inlineStr">
        <is>
          <t>No</t>
        </is>
      </c>
      <c r="D46" s="2" t="inlineStr">
        <is>
          <t>Falla Teclado, la tecla ENTER no funciona</t>
        </is>
      </c>
      <c r="E46" s="2" t="inlineStr">
        <is>
          <t>Pendiente</t>
        </is>
      </c>
      <c r="F46" s="2" t="inlineStr">
        <is>
          <t>Usuario: Paola Marcela Hernandez Saavedra
Informa: Falla Teclado, la tecla ENTER no funciona. Usuaria: Yenny Chingate Cel: 3508417458
Ubicación: Caqueza, Piso 1
Tiempo: 1 dia
Impacto: 1 Usuario</t>
        </is>
      </c>
      <c r="G46" s="2" t="inlineStr">
        <is>
          <t>SERVICIOS DE TECNOLOGIA-SOPORTE EQUIPOS DE COMPUTO-FALLA</t>
        </is>
      </c>
      <c r="H46" s="2" t="inlineStr">
        <is>
          <t>Telefono</t>
        </is>
      </c>
      <c r="I46" s="2" t="inlineStr">
        <is>
          <t>Baja</t>
        </is>
      </c>
      <c r="J46" s="4">
        <v>46230.68630787037</v>
      </c>
      <c r="K46" s="2" t="inlineStr">
        <is>
          <t>CARLOS IVAN CUCANCHON CARRILLO</t>
        </is>
      </c>
      <c r="L46" s="2" t="inlineStr">
        <is>
          <t>SPT CABECERA CALLE 94</t>
        </is>
      </c>
      <c r="M46" s="2" t="inlineStr">
        <is>
          <t>SERVICIOS DE TI</t>
        </is>
      </c>
      <c r="N46" s="2" t="inlineStr">
        <is>
          <t>P000158</t>
        </is>
      </c>
      <c r="O46" s="2" t="inlineStr">
        <is>
          <t>SALUD</t>
        </is>
      </c>
      <c r="P46" s="2"/>
      <c r="Q46" s="2" t="inlineStr">
        <is>
          <t>IDGEXM7CDZJ5AAT8UR8OT8UR8ON40U</t>
        </is>
      </c>
      <c r="R46" s="2" t="inlineStr">
        <is>
          <t>a) 0-4</t>
        </is>
      </c>
      <c r="S46" s="2" t="inlineStr">
        <is>
          <t>29/07/2026 13:00:00</t>
        </is>
      </c>
      <c r="T46" s="2" t="inlineStr">
        <is>
          <t>-</t>
        </is>
      </c>
    </row>
    <row r="47">
      <c r="A47" s="2" t="inlineStr">
        <is>
          <t>🟢</t>
        </is>
      </c>
      <c r="B47" s="3" t="str">
        <f>HYPERLINK("https://compensar-smartit.onbmc.com/smartit/app/#/incident/IDGEXM7CDZJ5AAT8UROWT8UROWN9MC","INC000000154442")</f>
        <v>INC000000154442</v>
      </c>
      <c r="C47" s="2" t="inlineStr">
        <is>
          <t>No</t>
        </is>
      </c>
      <c r="D47" s="2" t="inlineStr">
        <is>
          <t>Falla Teclado, las teclas se pegan</t>
        </is>
      </c>
      <c r="E47" s="2" t="inlineStr">
        <is>
          <t>Pendiente</t>
        </is>
      </c>
      <c r="F47" s="2" t="inlineStr">
        <is>
          <t>Usuario: Paola Marcela Hernandez Saavedra
Informa: Falla Teclado, las teclas se pegan. Usuaria: Ingrid Alvarez Cel: 3125978110
Ubicación: Mosquera, Piso 1
Tiempo: 1 dia
Impacto: 1 Usuario</t>
        </is>
      </c>
      <c r="G47" s="2" t="inlineStr">
        <is>
          <t>SERVICIOS DE TECNOLOGIA-SOPORTE EQUIPOS DE COMPUTO-FALLA</t>
        </is>
      </c>
      <c r="H47" s="2" t="inlineStr">
        <is>
          <t>Telefono</t>
        </is>
      </c>
      <c r="I47" s="2" t="inlineStr">
        <is>
          <t>Baja</t>
        </is>
      </c>
      <c r="J47" s="4">
        <v>46230.68880787037</v>
      </c>
      <c r="K47" s="2" t="inlineStr">
        <is>
          <t>CARLOS IVAN CUCANCHON CARRILLO</t>
        </is>
      </c>
      <c r="L47" s="2" t="inlineStr">
        <is>
          <t>SPT CABECERA CALLE 94</t>
        </is>
      </c>
      <c r="M47" s="2" t="inlineStr">
        <is>
          <t>SERVICIOS DE TI</t>
        </is>
      </c>
      <c r="N47" s="2" t="inlineStr">
        <is>
          <t>P000158</t>
        </is>
      </c>
      <c r="O47" s="2" t="inlineStr">
        <is>
          <t>SALUD</t>
        </is>
      </c>
      <c r="P47" s="2"/>
      <c r="Q47" s="2" t="inlineStr">
        <is>
          <t>IDGEXM7CDZJ5AAT8UROWT8UROWN9MC</t>
        </is>
      </c>
      <c r="R47" s="2" t="inlineStr">
        <is>
          <t>a) 0-4</t>
        </is>
      </c>
      <c r="S47" s="2" t="inlineStr">
        <is>
          <t>29/07/2026 13:00:00</t>
        </is>
      </c>
      <c r="T47" s="2" t="inlineStr">
        <is>
          <t>-</t>
        </is>
      </c>
    </row>
    <row r="48">
      <c r="A48" s="2" t="inlineStr">
        <is>
          <t>🟢</t>
        </is>
      </c>
      <c r="B48" s="3" t="str">
        <f>HYPERLINK("https://compensar-smartit.onbmc.com/smartit/app/#/incident/IDGEXM7CDZJ5AAT8USGET8USGEOC4M","INC000000154444")</f>
        <v>INC000000154444</v>
      </c>
      <c r="C48" s="2" t="inlineStr">
        <is>
          <t>No</t>
        </is>
      </c>
      <c r="D48" s="2" t="inlineStr">
        <is>
          <t>Falla Teclado, las teclas estan pegadas y en mal estado</t>
        </is>
      </c>
      <c r="E48" s="2" t="inlineStr">
        <is>
          <t>Pendiente</t>
        </is>
      </c>
      <c r="F48" s="2" t="inlineStr">
        <is>
          <t>Usuario: Paola Marcela Hernandez Saavedra
Informa: Falla Teclado, las teclas estan pegadas y en mal estado. Usuaria: Alejandro Bello Cel: 3105295926
Ubicación: Guaudas, Piso 1
Tiempo: 1 dia
Impacto: 1 Usuario</t>
        </is>
      </c>
      <c r="G48" s="2" t="inlineStr">
        <is>
          <t>SERVICIOS DE TECNOLOGIA-SOPORTE EQUIPOS DE COMPUTO-FALLA</t>
        </is>
      </c>
      <c r="H48" s="2" t="inlineStr">
        <is>
          <t>Telefono</t>
        </is>
      </c>
      <c r="I48" s="2" t="inlineStr">
        <is>
          <t>Baja</t>
        </is>
      </c>
      <c r="J48" s="4">
        <v>46230.69574074074</v>
      </c>
      <c r="K48" s="2" t="inlineStr">
        <is>
          <t>CARLOS IVAN CUCANCHON CARRILLO</t>
        </is>
      </c>
      <c r="L48" s="2" t="inlineStr">
        <is>
          <t>SPT CABECERA CALLE 94</t>
        </is>
      </c>
      <c r="M48" s="2" t="inlineStr">
        <is>
          <t>SERVICIOS DE TI</t>
        </is>
      </c>
      <c r="N48" s="2" t="inlineStr">
        <is>
          <t>P000158</t>
        </is>
      </c>
      <c r="O48" s="2" t="inlineStr">
        <is>
          <t>SALUD</t>
        </is>
      </c>
      <c r="P48" s="2"/>
      <c r="Q48" s="2" t="inlineStr">
        <is>
          <t>IDGEXM7CDZJ5AAT8USGET8USGEOC4M</t>
        </is>
      </c>
      <c r="R48" s="2" t="inlineStr">
        <is>
          <t>a) 0-4</t>
        </is>
      </c>
      <c r="S48" s="2" t="inlineStr">
        <is>
          <t>29/07/2026 13:00:00</t>
        </is>
      </c>
      <c r="T48" s="2" t="inlineStr">
        <is>
          <t>-</t>
        </is>
      </c>
    </row>
    <row r="49">
      <c r="A49" s="2" t="inlineStr">
        <is>
          <t>🟢</t>
        </is>
      </c>
      <c r="B49" s="3" t="str">
        <f>HYPERLINK("https://compensar-smartit.onbmc.com/smartit/app/#/incident/IDGEXM7CDZJ5AAT8UTTRT8UTTRPS37","INC000000154448")</f>
        <v>INC000000154448</v>
      </c>
      <c r="C49" s="2" t="inlineStr">
        <is>
          <t>No</t>
        </is>
      </c>
      <c r="D49" s="2" t="inlineStr">
        <is>
          <t>Falla Mouse, Se quedan pegados los Clic</t>
        </is>
      </c>
      <c r="E49" s="2" t="inlineStr">
        <is>
          <t>Pendiente</t>
        </is>
      </c>
      <c r="F49" s="2" t="inlineStr">
        <is>
          <t>Usuario: Paola Marcela Hernandez Saavedra
Informa: Falla Mouse, Se quedan pegados los Clic -  Usuaria: Monica Alejandra Zuleta Cel: 3017471776
Ubicación: Anolaima, Piso 1, Gestor integral
Tiempo: 1 dia
Impacto: 1 Usuario</t>
        </is>
      </c>
      <c r="G49" s="2" t="inlineStr">
        <is>
          <t>SERVICIOS DE TECNOLOGIA-SOPORTE EQUIPOS DE COMPUTO-FALLA</t>
        </is>
      </c>
      <c r="H49" s="2" t="inlineStr">
        <is>
          <t>Telefono</t>
        </is>
      </c>
      <c r="I49" s="2" t="inlineStr">
        <is>
          <t>Baja</t>
        </is>
      </c>
      <c r="J49" s="4">
        <v>46230.72195601852</v>
      </c>
      <c r="K49" s="2" t="inlineStr">
        <is>
          <t>CARLOS IVAN CUCANCHON CARRILLO</t>
        </is>
      </c>
      <c r="L49" s="2" t="inlineStr">
        <is>
          <t>SPT CABECERA CALLE 94</t>
        </is>
      </c>
      <c r="M49" s="2" t="inlineStr">
        <is>
          <t>SERVICIOS DE TI</t>
        </is>
      </c>
      <c r="N49" s="2" t="inlineStr">
        <is>
          <t>519500004616</t>
        </is>
      </c>
      <c r="O49" s="2" t="inlineStr">
        <is>
          <t>SALUD</t>
        </is>
      </c>
      <c r="P49" s="2"/>
      <c r="Q49" s="2" t="inlineStr">
        <is>
          <t>IDGEXM7CDZJ5AAT8UTTRT8UTTRPS37</t>
        </is>
      </c>
      <c r="R49" s="2" t="inlineStr">
        <is>
          <t>a) 0-4</t>
        </is>
      </c>
      <c r="S49" s="2" t="inlineStr">
        <is>
          <t>29/07/2026 13:00:00</t>
        </is>
      </c>
      <c r="T49" s="2" t="inlineStr">
        <is>
          <t>-</t>
        </is>
      </c>
    </row>
    <row r="50">
      <c r="A50" s="2" t="inlineStr">
        <is>
          <t>🟠</t>
        </is>
      </c>
      <c r="B50" s="3" t="str">
        <f>HYPERLINK("https://compensar-smartit.onbmc.com/smartit/app/#/incident/AGGEXM7CDZJ5AAT8UU48T8UU48QI60","INC000000154450")</f>
        <v>INC000000154450</v>
      </c>
      <c r="C50" s="2" t="inlineStr">
        <is>
          <t>No</t>
        </is>
      </c>
      <c r="D50" s="2" t="inlineStr">
        <is>
          <t>Incidentes de Escritorio Virtual</t>
        </is>
      </c>
      <c r="E50" s="2" t="inlineStr">
        <is>
          <t>Asignado</t>
        </is>
      </c>
      <c r="F50" s="2" t="inlineStr">
        <is>
          <t>Ubicación para atención del Servicio: CRA 69 B TORRE B PISO 1 ZONA DE TELETRABAJO
Número de contacto para la atención del servicio: 3137451205
Frente: SALUD
Título: CAMBIO DE PERFIL 7 A PERFIL 4
Tipo de Servicio: LENTITUD
Perfil de Escritorio Virtual: PERFIL 7
Nombre de la máquina: CE025405
Descripción: Buena tarde, Agradezco solucion urgente por solicitud de me Jefe Angela Maribel Vega, manejo 3 buzones de usuarios, envio correos  masivos el correo molesta constantemente, se ha evidenciado perdida de correos y a demas lentitud en el correo me siguen saliendo avisos como  cierre correo, debes reiniciar,  Ya habiamos hecho solicitud  ID de petición: 702872 
Indican lo siguiente, el cliente de Outlook no hace parte del servicio de teletrabajo. Si la usuaria continúa presentando inconvenientes con el envío o recepción de correos, manejo de buzones o correos masivos, por favor orientarla para que el caso sea validado con el administrador de Microsoft 365
Agradecemos solucion pronta  cambio de perfil 7 a 4  y licencia  E 3  segun lo considerado por ustedes pero no cierre de caso sin solucion , debido a que esta afectando la oportunidad de gestion mil gracias
</t>
        </is>
      </c>
      <c r="G50" s="2" t="inlineStr">
        <is>
          <t>SERVICIOS DE TECNOLOGIA-ESCRITORIOS VIRTUALES-LENTITUD</t>
        </is>
      </c>
      <c r="H50" s="2" t="inlineStr">
        <is>
          <t>Portal - Web</t>
        </is>
      </c>
      <c r="I50" s="2" t="inlineStr">
        <is>
          <t>Baja</t>
        </is>
      </c>
      <c r="J50" s="4">
        <v>46230.72770833333</v>
      </c>
      <c r="K50" s="2" t="inlineStr">
        <is>
          <t>JULIAN HUMBERTO MOLINA BERNAL</t>
        </is>
      </c>
      <c r="L50" s="2" t="inlineStr">
        <is>
          <t>SPT ESCRITORIO VIRTUAL</t>
        </is>
      </c>
      <c r="M50" s="2" t="inlineStr">
        <is>
          <t>SERVICIOS DE TI</t>
        </is>
      </c>
      <c r="N50" s="2"/>
      <c r="O50" s="2" t="inlineStr">
        <is>
          <t>SALUD</t>
        </is>
      </c>
      <c r="P50" s="2"/>
      <c r="Q50" s="2" t="inlineStr">
        <is>
          <t>AGGEXM7CDZJ5AAT8UU48T8UU48QI60</t>
        </is>
      </c>
      <c r="R50" s="2" t="inlineStr">
        <is>
          <t>a) 0-4</t>
        </is>
      </c>
      <c r="S50" s="2" t="inlineStr">
        <is>
          <t>-</t>
        </is>
      </c>
      <c r="T50" s="2" t="inlineStr">
        <is>
          <t>28/07/2026 10:27:54</t>
        </is>
      </c>
    </row>
    <row r="51">
      <c r="A51" s="2" t="inlineStr">
        <is>
          <t>🟢</t>
        </is>
      </c>
      <c r="B51" s="3" t="str">
        <f>HYPERLINK("https://compensar-smartit.onbmc.com/smartit/app/#/incident/IDGEXM7CDZJ5AAT8VU7LT8VU7LATE3","INC000000154456")</f>
        <v>INC000000154456</v>
      </c>
      <c r="C51" s="2" t="inlineStr">
        <is>
          <t>No</t>
        </is>
      </c>
      <c r="D51" s="2" t="inlineStr">
        <is>
          <t>Configuracion de impresora ZEBRA</t>
        </is>
      </c>
      <c r="E51" s="2" t="inlineStr">
        <is>
          <t>Asignado</t>
        </is>
      </c>
      <c r="F51" s="2" t="inlineStr">
        <is>
          <t>Usuario        : Angie Capera
CC             : 1010226263
Tel            : 3046784132
Informa        : La colaboradora reporta que, luego de la revisión del tóner de la impresora Zebra, los stickers se imprimen a la mitad y solicita la validación y configuración del equipo.
Ubicación      : Sede Autopista Sur Laboratorio
Tiempo         : 6:33 a. m. 28/07/2026
Impacto        : 1
Evidencias     :
                 1. No es posible validar informacion de equipo ya que segun usuario no cuenta con identificacion de serial;adicional tampoco cuenta con el numero de ticket de la revision anterioir.</t>
        </is>
      </c>
      <c r="G51" s="2" t="inlineStr">
        <is>
          <t>SERVICIOS DE TECNOLOGIA-ADMINISTRACION DE LA CONFIGURACION-ACOMPAÑAMIENTO EQUIPO</t>
        </is>
      </c>
      <c r="H51" s="2" t="inlineStr">
        <is>
          <t>Telefono</t>
        </is>
      </c>
      <c r="I51" s="2" t="inlineStr">
        <is>
          <t>Baja</t>
        </is>
      </c>
      <c r="J51" s="4">
        <v>46231.27423611111</v>
      </c>
      <c r="K51" s="2" t="inlineStr">
        <is>
          <t>MICHAEL STEVEN FRAILE GOMEZ</t>
        </is>
      </c>
      <c r="L51" s="2" t="inlineStr">
        <is>
          <t>SPT ZONA SURORIENTE</t>
        </is>
      </c>
      <c r="M51" s="2" t="inlineStr">
        <is>
          <t>SERVICIOS DE TI</t>
        </is>
      </c>
      <c r="N51" s="2" t="inlineStr">
        <is>
          <t>IMPRESION</t>
        </is>
      </c>
      <c r="O51" s="2" t="inlineStr">
        <is>
          <t>SALUD</t>
        </is>
      </c>
      <c r="P51" s="2"/>
      <c r="Q51" s="2" t="inlineStr">
        <is>
          <t>IDGEXM7CDZJ5AAT8VU7LT8VU7LATE3</t>
        </is>
      </c>
      <c r="R51" s="2" t="inlineStr">
        <is>
          <t>a) 0-4</t>
        </is>
      </c>
      <c r="S51" s="2" t="inlineStr">
        <is>
          <t>-</t>
        </is>
      </c>
      <c r="T51" s="2" t="inlineStr">
        <is>
          <t>28/07/2026 14:34:54</t>
        </is>
      </c>
    </row>
    <row r="52">
      <c r="A52" s="2" t="inlineStr">
        <is>
          <t>🟢</t>
        </is>
      </c>
      <c r="B52" s="3" t="str">
        <f>HYPERLINK("https://compensar-smartit.onbmc.com/smartit/app/#/incident/AGGEXM7CDZJ5AAT8VWJRT8VWJRB8GG","INC000000154459")</f>
        <v>INC000000154459</v>
      </c>
      <c r="C52" s="2" t="inlineStr">
        <is>
          <t>No</t>
        </is>
      </c>
      <c r="D52" s="2" t="inlineStr">
        <is>
          <t>Falla en Equipo</t>
        </is>
      </c>
      <c r="E52" s="2" t="inlineStr">
        <is>
          <t>En curso</t>
        </is>
      </c>
      <c r="F52" s="2" t="inlineStr">
        <is>
          <t>Ubicación para atención del Servicio: CUR PISO 2 GIMNASIO-CUR
Número de contacto para la atención del servicio: 3505798097
Frente: BIENESTAR Y DESARROLLO SOCIAL
Falla: BLOQUEO
¿Cual es el dispositivo que presenta la falla?: [MONITOR]
Nombre de equipo (inventario o placa): 152800023694
Descripción del incidente o falla: El Computador del gimnasio con numero de activo 152800023694 no cuenta con acceso a internet, presenta fallos de internet no permite conectarse a red wifi ni por cable LAN, agradecemos de su colaboración con la validación del equipo y arreglo del mismo, se encuentra en el Gimnasio CUR segundo piso el número de activo 152800023694.
Adjunto: [AGGIBMZTENYZ6AT8VWIZT8VWIZL4NO, AGGEXM7CDZJ5AAT8VWJ2T8VWJ2B7V0]
</t>
        </is>
      </c>
      <c r="G52" s="2" t="inlineStr">
        <is>
          <t>SERVICIOS DE TECNOLOGIA-SOPORTE EQUIPOS DE COMPUTO-FALLA</t>
        </is>
      </c>
      <c r="H52" s="2" t="inlineStr">
        <is>
          <t>Portal - Web</t>
        </is>
      </c>
      <c r="I52" s="2" t="inlineStr">
        <is>
          <t>Baja</t>
        </is>
      </c>
      <c r="J52" s="4">
        <v>46231.29572916667</v>
      </c>
      <c r="K52" s="2" t="inlineStr">
        <is>
          <t>GERLYN RENTERIA OROZCO</t>
        </is>
      </c>
      <c r="L52" s="2" t="inlineStr">
        <is>
          <t>ZONA CENTRO</t>
        </is>
      </c>
      <c r="M52" s="2" t="inlineStr">
        <is>
          <t>SERVICIOS DE TI</t>
        </is>
      </c>
      <c r="N52" s="2"/>
      <c r="O52" s="2" t="inlineStr">
        <is>
          <t>BIENESTAR Y DESARROLLO SOCIAL</t>
        </is>
      </c>
      <c r="P52" s="2"/>
      <c r="Q52" s="2" t="inlineStr">
        <is>
          <t>AGGEXM7CDZJ5AAT8VWJRT8VWJRB8GG</t>
        </is>
      </c>
      <c r="R52" s="2" t="inlineStr">
        <is>
          <t>a) 0-4</t>
        </is>
      </c>
      <c r="S52" s="2" t="inlineStr">
        <is>
          <t>-</t>
        </is>
      </c>
      <c r="T52" s="2" t="inlineStr">
        <is>
          <t>29/07/2026 13:05:51</t>
        </is>
      </c>
    </row>
    <row r="53">
      <c r="A53" s="2" t="inlineStr">
        <is>
          <t>🟢</t>
        </is>
      </c>
      <c r="B53" s="3" t="str">
        <f>HYPERLINK("https://compensar-smartit.onbmc.com/smartit/app/#/incident/IDGEXM7CDZJ5AAT8VW91T8VW91BPH9","INC000000154460")</f>
        <v>INC000000154460</v>
      </c>
      <c r="C53" s="2" t="inlineStr">
        <is>
          <t>No</t>
        </is>
      </c>
      <c r="D53" s="2" t="inlineStr">
        <is>
          <t>Bloqueo de acceso al Visor SICU por Fortinet</t>
        </is>
      </c>
      <c r="E53" s="2" t="inlineStr">
        <is>
          <t>Asignado</t>
        </is>
      </c>
      <c r="F53" s="2" t="inlineStr">
        <is>
          <t>Usuario: Sindy Liliana Tabares Gonzalez 
CC: 1054543298
Tel: 3206910778
Informa: Funcionaria indica que, al consultar el Visor de Historia Clínica en la opción Visor SICU desde el aplicativo SAP, se presenta un mensaje de bloqueo generado por Fortinet, impidiendo el acceso al visor y la consulta de la información clínica.
Ubicación: Salud Market - Chia. Piso: 3 Area: Consultorio 4 - Enfermeria
Tiempo: 6:41 a. m. 28/07/2026
Impacto: 1
Evidencias: Se brinda soporte de primer nivel, realizando la eliminación de archivos temporales y el reinicio del equipo corporativo. Posteriormente, se valida nuevamente el acceso al Visor de Historia Clínica en la opción Visor SICU desde el aplicativo SAP; sin embargo, el mensaje de bloqueo generado por Fortinet persiste. Debido a lo anterior, se escala el caso al área encargada para su respectiva revisión y solución.
Activo: C025367</t>
        </is>
      </c>
      <c r="G53" s="2" t="inlineStr">
        <is>
          <t>SERVICIOS DE TECNOLOGIA-APLICACIONES DE NEGOCIO-FALLA</t>
        </is>
      </c>
      <c r="H53" s="2" t="inlineStr">
        <is>
          <t>Telefono</t>
        </is>
      </c>
      <c r="I53" s="2" t="inlineStr">
        <is>
          <t>Baja</t>
        </is>
      </c>
      <c r="J53" s="4">
        <v>46231.308657407404</v>
      </c>
      <c r="K53" s="2" t="inlineStr">
        <is>
          <t>EDWIN ALEXIS PATIÑO TEJEDOR</t>
        </is>
      </c>
      <c r="L53" s="2" t="inlineStr">
        <is>
          <t>SPT ZONA NORTE</t>
        </is>
      </c>
      <c r="M53" s="2" t="inlineStr">
        <is>
          <t>SERVICIOS DE TI</t>
        </is>
      </c>
      <c r="N53" s="2" t="inlineStr">
        <is>
          <t>C025367</t>
        </is>
      </c>
      <c r="O53" s="2" t="inlineStr">
        <is>
          <t>SALUD</t>
        </is>
      </c>
      <c r="P53" s="2"/>
      <c r="Q53" s="2" t="inlineStr">
        <is>
          <t>IDGEXM7CDZJ5AAT8VW91T8VW91BPH9</t>
        </is>
      </c>
      <c r="R53" s="2" t="inlineStr">
        <is>
          <t>a) 0-4</t>
        </is>
      </c>
      <c r="S53" s="2" t="inlineStr">
        <is>
          <t>-</t>
        </is>
      </c>
      <c r="T53" s="2" t="inlineStr">
        <is>
          <t>28/07/2026 15:24:28</t>
        </is>
      </c>
    </row>
    <row r="54">
      <c r="A54" s="2" t="inlineStr">
        <is>
          <t>🟢</t>
        </is>
      </c>
      <c r="B54" s="3" t="str">
        <f>HYPERLINK("https://compensar-smartit.onbmc.com/smartit/app/#/incident/IDGEXM7CDZJ5AAT8VWK9T8VWK9BQCT","INC000000154462")</f>
        <v>INC000000154462</v>
      </c>
      <c r="C54" s="2" t="inlineStr">
        <is>
          <t>No</t>
        </is>
      </c>
      <c r="D54" s="2" t="inlineStr">
        <is>
          <t>Falla Sonido - No la escuchan</t>
        </is>
      </c>
      <c r="E54" s="2" t="inlineStr">
        <is>
          <t>Asignado</t>
        </is>
      </c>
      <c r="F54" s="2" t="inlineStr">
        <is>
          <t>Usuario: Monica Leiva
Informa: Quiero por favor que me ayudes a confirmar el sonido de la diadema que me prestaron, no la escuchan. Se toma el equipo remoto, se valida la configuracion del sonido, se hace llamadas de prueba pero no la escuchan, se reinicia el equipo pero la falla persiste, se le indica que debe hacer la prueba en otro equipo para descartar falla de la diadema pero manifiesta que necesita que alguien se acerque a hacer la prueba, 
📍 Ubicación: SEDE AV 68 2 PISO 
Tiempo: 7:00
Impacto: 1</t>
        </is>
      </c>
      <c r="G54" s="2" t="inlineStr">
        <is>
          <t>SERVICIOS DE TECNOLOGIA-SOPORTE EQUIPOS DE COMPUTO-FALLA</t>
        </is>
      </c>
      <c r="H54" s="2" t="inlineStr">
        <is>
          <t>Chat</t>
        </is>
      </c>
      <c r="I54" s="2" t="inlineStr">
        <is>
          <t>Baja</t>
        </is>
      </c>
      <c r="J54" s="4">
        <v>46231.32200231482</v>
      </c>
      <c r="K54" s="2" t="inlineStr">
        <is>
          <t>DILAN SAMIR LOPEZ ARAUJO</t>
        </is>
      </c>
      <c r="L54" s="2" t="inlineStr">
        <is>
          <t>ZONA CENTRO</t>
        </is>
      </c>
      <c r="M54" s="2" t="inlineStr">
        <is>
          <t>SERVICIOS DE TI</t>
        </is>
      </c>
      <c r="N54" s="2"/>
      <c r="O54" s="2" t="inlineStr">
        <is>
          <t>CLIENTES</t>
        </is>
      </c>
      <c r="P54" s="2"/>
      <c r="Q54" s="2" t="inlineStr">
        <is>
          <t>IDGEXM7CDZJ5AAT8VWK9T8VWK9BQCT</t>
        </is>
      </c>
      <c r="R54" s="2" t="inlineStr">
        <is>
          <t>a) 0-4</t>
        </is>
      </c>
      <c r="S54" s="2" t="inlineStr">
        <is>
          <t>-</t>
        </is>
      </c>
      <c r="T54" s="2" t="inlineStr">
        <is>
          <t>29/07/2026 13:43:41</t>
        </is>
      </c>
    </row>
    <row r="55">
      <c r="A55" s="2" t="inlineStr">
        <is>
          <t>🟢</t>
        </is>
      </c>
      <c r="B55" s="3" t="str">
        <f>HYPERLINK("https://compensar-smartit.onbmc.com/smartit/app/#/incident/IDGEXM7CDZJ5AAT8VX0NT8VX0NCIC6","INC000000154464")</f>
        <v>INC000000154464</v>
      </c>
      <c r="C55" s="2" t="inlineStr">
        <is>
          <t>No</t>
        </is>
      </c>
      <c r="D55" s="2" t="inlineStr">
        <is>
          <t>Equipo sin internet</t>
        </is>
      </c>
      <c r="E55" s="2" t="inlineStr">
        <is>
          <t>Asignado</t>
        </is>
      </c>
      <c r="F55" s="2" t="inlineStr">
        <is>
          <t>Usuario: Leidy Johanna Diaz Gonzalez
Teléfono: 3114513548
CC: 1018429356
Informa: La usuaria se comunica con la Mesa de Servicio indicando que el equipo se encuentra sin conexión a Internet.
Ubicación: Calle 94, piso 2, Laboratorio Clínico
Tiempo: 6:38 a. m. 28/07/2026
Evidencias:
1. Se validó el inconveniente reportado con la conexión a Internet.
2. La usuaria informó que desconectó y reinició el equipo; sin embargo, el inconveniente persiste.
3. Se identificó que el icono de red continúa mostrando el símbolo de mundo, indicando ausencia de conexión.
4. Se escaló el caso para la respectiva validación.</t>
        </is>
      </c>
      <c r="G55" s="2" t="inlineStr">
        <is>
          <t>SERVICIOS DE TECNOLOGIA-SOPORTE EQUIPOS DE COMPUTO-FALLA</t>
        </is>
      </c>
      <c r="H55" s="2" t="inlineStr">
        <is>
          <t>Telefono</t>
        </is>
      </c>
      <c r="I55" s="2" t="inlineStr">
        <is>
          <t>Baja</t>
        </is>
      </c>
      <c r="J55" s="4">
        <v>46231.313113425924</v>
      </c>
      <c r="K55" s="2" t="inlineStr">
        <is>
          <t>MARIA FERNANDA PEREIRA BUENO</t>
        </is>
      </c>
      <c r="L55" s="2" t="inlineStr">
        <is>
          <t>SPT CABECERA CALLE 94</t>
        </is>
      </c>
      <c r="M55" s="2" t="inlineStr">
        <is>
          <t>SERVICIOS DE TI</t>
        </is>
      </c>
      <c r="N55" s="2"/>
      <c r="O55" s="2" t="inlineStr">
        <is>
          <t>SALUD</t>
        </is>
      </c>
      <c r="P55" s="2"/>
      <c r="Q55" s="2" t="inlineStr">
        <is>
          <t>IDGEXM7CDZJ5AAT8VX0NT8VX0NCIC6</t>
        </is>
      </c>
      <c r="R55" s="2" t="inlineStr">
        <is>
          <t>a) 0-4</t>
        </is>
      </c>
      <c r="S55" s="2" t="inlineStr">
        <is>
          <t>-</t>
        </is>
      </c>
      <c r="T55" s="2" t="inlineStr">
        <is>
          <t>28/07/2026 15:30:53</t>
        </is>
      </c>
    </row>
    <row r="56">
      <c r="A56" s="2" t="inlineStr">
        <is>
          <t>🟢</t>
        </is>
      </c>
      <c r="B56" s="3" t="str">
        <f>HYPERLINK("https://compensar-smartit.onbmc.com/smartit/app/#/incident/IDGEXM7CDZJ5AAT8VX2ET8VX2ECIZJ","INC000000154465")</f>
        <v>INC000000154465</v>
      </c>
      <c r="C56" s="2" t="inlineStr">
        <is>
          <t>No</t>
        </is>
      </c>
      <c r="D56" s="2" t="inlineStr">
        <is>
          <t>Falla de encendido en equipo de cómputo</t>
        </is>
      </c>
      <c r="E56" s="2" t="inlineStr">
        <is>
          <t>En curso</t>
        </is>
      </c>
      <c r="F56" s="2" t="inlineStr">
        <is>
          <t>Usuario         : Andrea Paola Bojaca Piarpuzan
CC              : 1214463047
Tel             : 3158950010
Informa         : La colaboradora reporta falla en el equipo de cómputo, indicando lentitud. Se realiza el reinicio del equipo, pero posteriormente presenta falla y no enciende. 
Ubicación       : Calle 42 TORRE B PISO 6 CONSULTORIO SAM 614 PEDIATRIA
Tiempo          : 7:27 a. m. 28/07/2026
Impacto         : 1
Placa de equipo : C009456
Evidencias      : No especificada</t>
        </is>
      </c>
      <c r="G56" s="2" t="inlineStr">
        <is>
          <t>SERVICIOS DE TECNOLOGIA-SOPORTE EQUIPOS DE COMPUTO-FALLA</t>
        </is>
      </c>
      <c r="H56" s="2" t="inlineStr">
        <is>
          <t>Telefono</t>
        </is>
      </c>
      <c r="I56" s="2" t="inlineStr">
        <is>
          <t>Baja</t>
        </is>
      </c>
      <c r="J56" s="4">
        <v>46231.31599537037</v>
      </c>
      <c r="K56" s="2" t="inlineStr">
        <is>
          <t>JUAN DAVID GIL SALAMANCA</t>
        </is>
      </c>
      <c r="L56" s="2" t="inlineStr">
        <is>
          <t>SPT CABECERA CALLE 42</t>
        </is>
      </c>
      <c r="M56" s="2" t="inlineStr">
        <is>
          <t>SERVICIOS DE TI</t>
        </is>
      </c>
      <c r="N56" s="2" t="inlineStr">
        <is>
          <t>CC009456</t>
        </is>
      </c>
      <c r="O56" s="2" t="inlineStr">
        <is>
          <t>SALUD</t>
        </is>
      </c>
      <c r="P56" s="2"/>
      <c r="Q56" s="2" t="inlineStr">
        <is>
          <t>IDGEXM7CDZJ5AAT8VX2ET8VX2ECIZJ</t>
        </is>
      </c>
      <c r="R56" s="2" t="inlineStr">
        <is>
          <t>a) 0-4</t>
        </is>
      </c>
      <c r="S56" s="2" t="inlineStr">
        <is>
          <t>-</t>
        </is>
      </c>
      <c r="T56" s="2" t="inlineStr">
        <is>
          <t>28/07/2026 15:35:02</t>
        </is>
      </c>
    </row>
    <row r="57">
      <c r="A57" s="2" t="inlineStr">
        <is>
          <t>🟢</t>
        </is>
      </c>
      <c r="B57" s="3" t="str">
        <f>HYPERLINK("https://compensar-smartit.onbmc.com/smartit/app/#/incident/AGGEXM7CDZJ5AAT8VY1ET8VY1EDF7V","INC000000154470")</f>
        <v>INC000000154470</v>
      </c>
      <c r="C57" s="2" t="inlineStr">
        <is>
          <t>No</t>
        </is>
      </c>
      <c r="D57" s="2" t="inlineStr">
        <is>
          <t>Falla en Equipo</t>
        </is>
      </c>
      <c r="E57" s="2" t="inlineStr">
        <is>
          <t>Asignado</t>
        </is>
      </c>
      <c r="F57" s="2" t="inlineStr">
        <is>
          <t>Ubicación para atención del Servicio: BLOQUE F TORRE F PISO 3 CONVENIOS COMEDORES ESCOLARES
Número de contacto para la atención del servicio: 3184316004
Frente: BIENESTAR Y DESARROLLO SOCIAL
Falla: NO ENCIENDE/NO FUNCIONA
¿Cual es el dispositivo que presenta la falla?: [PORTATIL/PC]
Nombre de equipo (inventario o placa): 152800003557
Descripción del incidente o falla: BUEN DÍA, EL COMPUTADOR SE APAGA DE REPENTE Y NO ENCIENDE LA CPU, POR FAVOR COMUNICAR A PAOLA HERRERA, UBICAD@ EN LA DIRECCIÓN CALLE 9 C # 68 - 52, COLEGIO NACIONAL NICOLAS ESGUERRA (IED), AL NÚMERO CELULAR 3118744385, ACTIVO 152800003557 EN ELCASO DE REQUERIR CAMBIO DE LOS PERIFERICOS PARA LA ATENCION , POR FAVOR DEJAR IMPLEMENTO DE CONTINGENCIA PARA CONTINUIDAD DE LA OPERACION
</t>
        </is>
      </c>
      <c r="G57" s="2" t="inlineStr">
        <is>
          <t>SERVICIOS DE TECNOLOGIA-SOPORTE EQUIPOS DE COMPUTO-FALLA</t>
        </is>
      </c>
      <c r="H57" s="2" t="inlineStr">
        <is>
          <t>Portal - Web</t>
        </is>
      </c>
      <c r="I57" s="2" t="inlineStr">
        <is>
          <t>Baja</t>
        </is>
      </c>
      <c r="J57" s="4">
        <v>46231.3262962963</v>
      </c>
      <c r="K57" s="2" t="inlineStr">
        <is>
          <t>NICK STEVE TRIANA LOPEZ</t>
        </is>
      </c>
      <c r="L57" s="2" t="inlineStr">
        <is>
          <t>ZONA OCCIDENTE</t>
        </is>
      </c>
      <c r="M57" s="2" t="inlineStr">
        <is>
          <t>SERVICIOS DE TI</t>
        </is>
      </c>
      <c r="N57" s="2"/>
      <c r="O57" s="2" t="inlineStr">
        <is>
          <t>BIENESTAR Y DESARROLLO SOCIAL</t>
        </is>
      </c>
      <c r="P57" s="2"/>
      <c r="Q57" s="2" t="inlineStr">
        <is>
          <t>AGGEXM7CDZJ5AAT8VY1ET8VY1EDF7V</t>
        </is>
      </c>
      <c r="R57" s="2" t="inlineStr">
        <is>
          <t>a) 0-4</t>
        </is>
      </c>
      <c r="S57" s="2" t="inlineStr">
        <is>
          <t>-</t>
        </is>
      </c>
      <c r="T57" s="2" t="inlineStr">
        <is>
          <t>29/07/2026 13:49:52</t>
        </is>
      </c>
    </row>
    <row r="58">
      <c r="A58" s="2" t="inlineStr">
        <is>
          <t>🟢</t>
        </is>
      </c>
      <c r="B58" s="3" t="str">
        <f>HYPERLINK("https://compensar-smartit.onbmc.com/smartit/app/#/incident/IDGEXM7CDZJ5AAT8WBDVT8WBDVGWSP","INC000000154478")</f>
        <v>INC000000154478</v>
      </c>
      <c r="C58" s="2" t="inlineStr">
        <is>
          <t>No</t>
        </is>
      </c>
      <c r="D58" s="2" t="inlineStr">
        <is>
          <t>Falla pc</t>
        </is>
      </c>
      <c r="E58" s="2" t="inlineStr">
        <is>
          <t>En curso</t>
        </is>
      </c>
      <c r="F58" s="2" t="inlineStr">
        <is>
          <t>Usuario: Diego Salazar Giraldo 
Informa:   que no le funciona el pc ya que se le ha apagado 4 veces , trabaja un momento y se apaga 
Evidencias:   se intenta validar por asistencia rápida y se apaga se valida cargador correcto se trasfiere para validar en sitio 
CC:  1000855710
Tel:  322816906
Ubicación:  MOVILIDAD
Tiempo:  8am
Impacto:  1</t>
        </is>
      </c>
      <c r="G58" s="2" t="inlineStr">
        <is>
          <t>SERVICIOS DE TECNOLOGIA-SOPORTE EQUIPOS DE COMPUTO-FALLA</t>
        </is>
      </c>
      <c r="H58" s="2" t="inlineStr">
        <is>
          <t>Telefono</t>
        </is>
      </c>
      <c r="I58" s="2" t="inlineStr">
        <is>
          <t>Baja</t>
        </is>
      </c>
      <c r="J58" s="4">
        <v>46231.37096064815</v>
      </c>
      <c r="K58" s="2" t="inlineStr">
        <is>
          <t>KEVIN ALEXIS GARCIA GUARACA</t>
        </is>
      </c>
      <c r="L58" s="2" t="inlineStr">
        <is>
          <t>ZONA CENTRO</t>
        </is>
      </c>
      <c r="M58" s="2" t="inlineStr">
        <is>
          <t>SERVICIOS DE TI</t>
        </is>
      </c>
      <c r="N58" s="2" t="inlineStr">
        <is>
          <t>P013054</t>
        </is>
      </c>
      <c r="O58" s="2" t="inlineStr">
        <is>
          <t>BIENESTAR Y DESARROLLO SOCIAL</t>
        </is>
      </c>
      <c r="P58" s="2"/>
      <c r="Q58" s="2" t="inlineStr">
        <is>
          <t>IDGEXM7CDZJ5AAT8WBDVT8WBDVGWSP</t>
        </is>
      </c>
      <c r="R58" s="2" t="inlineStr">
        <is>
          <t>a) 0-4</t>
        </is>
      </c>
      <c r="S58" s="2" t="inlineStr">
        <is>
          <t>-</t>
        </is>
      </c>
      <c r="T58" s="2" t="inlineStr">
        <is>
          <t>29/07/2026 14:54:11</t>
        </is>
      </c>
    </row>
    <row r="59">
      <c r="A59" s="2" t="inlineStr">
        <is>
          <t>🟢</t>
        </is>
      </c>
      <c r="B59" s="3" t="str">
        <f>HYPERLINK("https://compensar-smartit.onbmc.com/smartit/app/#/incident/AGGEXM7CDZJ5AAT8WC0UT8WC0UI5IW","INC000000154481")</f>
        <v>INC000000154481</v>
      </c>
      <c r="C59" s="2" t="inlineStr">
        <is>
          <t>No</t>
        </is>
      </c>
      <c r="D59" s="2" t="inlineStr">
        <is>
          <t>Falla en Equipo</t>
        </is>
      </c>
      <c r="E59" s="2" t="inlineStr">
        <is>
          <t>Asignado</t>
        </is>
      </c>
      <c r="F59" s="2" t="inlineStr">
        <is>
          <t>Ubicación para atención del Servicio: CUR PISO 2 OFICINA DEPORTES RED
Número de contacto para la atención del servicio: 3105661636
Frente: BIENESTAR Y DESARROLLO SOCIAL
Falla: BLOQUEO
¿Cual es el dispositivo que presenta la falla?: [PORTATIL/PC]
Nombre de equipo (inventario o placa): 910500003710
Descripción del incidente o falla: Al abrir varias aplicaciones en el PC se congela la pantalla y no permite trabajar ninguna aplicación.
</t>
        </is>
      </c>
      <c r="G59" s="2" t="inlineStr">
        <is>
          <t>SERVICIOS DE TECNOLOGIA-SOPORTE EQUIPOS DE COMPUTO-FALLA</t>
        </is>
      </c>
      <c r="H59" s="2" t="inlineStr">
        <is>
          <t>Portal - Web</t>
        </is>
      </c>
      <c r="I59" s="2" t="inlineStr">
        <is>
          <t>Baja</t>
        </is>
      </c>
      <c r="J59" s="4">
        <v>46231.38618055556</v>
      </c>
      <c r="K59" s="2" t="inlineStr">
        <is>
          <t>ANDERSON JULIAN RATIVA RAMIREZ</t>
        </is>
      </c>
      <c r="L59" s="2" t="inlineStr">
        <is>
          <t>ZONA CENTRO</t>
        </is>
      </c>
      <c r="M59" s="2" t="inlineStr">
        <is>
          <t>SERVICIOS DE TI</t>
        </is>
      </c>
      <c r="N59" s="2"/>
      <c r="O59" s="2" t="inlineStr">
        <is>
          <t>BIENESTAR Y DESARROLLO SOCIAL</t>
        </is>
      </c>
      <c r="P59" s="2"/>
      <c r="Q59" s="2" t="inlineStr">
        <is>
          <t>AGGEXM7CDZJ5AAT8WC0UT8WC0UI5IW</t>
        </is>
      </c>
      <c r="R59" s="2" t="inlineStr">
        <is>
          <t>a) 0-4</t>
        </is>
      </c>
      <c r="S59" s="2" t="inlineStr">
        <is>
          <t>-</t>
        </is>
      </c>
      <c r="T59" s="2" t="inlineStr">
        <is>
          <t>29/07/2026 15:16:06</t>
        </is>
      </c>
    </row>
    <row r="60">
      <c r="A60" s="2" t="inlineStr">
        <is>
          <t>🟢</t>
        </is>
      </c>
      <c r="B60" s="3" t="str">
        <f>HYPERLINK("https://compensar-smartit.onbmc.com/smartit/app/#/incident/AGGIBMZTENYZ6AT8UY9RT8UY9R2J06","INC000000154506")</f>
        <v>INC000000154506</v>
      </c>
      <c r="C60" s="2" t="inlineStr">
        <is>
          <t>No</t>
        </is>
      </c>
      <c r="D60" s="2" t="inlineStr">
        <is>
          <t>Falla en Equipo</t>
        </is>
      </c>
      <c r="E60" s="2" t="inlineStr">
        <is>
          <t>Asignado</t>
        </is>
      </c>
      <c r="F60" s="2" t="inlineStr">
        <is>
          <t>Ubicación para atención del Servicio: CUR PISO 1 VENTANILLAS PAI
Número de contacto para la atención del servicio: 3505396200
Frente: CENTRO DE SERVICIOS COMPARTIDOS
Falla: DAÑO FISICO
¿Cual es el dispositivo que presenta la falla?: [MONITOR]
Nombre de equipo (inventario o placa): C91053781
Descripción del incidente o falla: Cordial Saludo 
Agradezco de su colaboración, para revisar monitor de equipo ubicado en sede CUR PISO 1 BLOQUE H VENTANILLAS PAI - Ventanillas No. 15 la cual se evidencia nublada y con líneas en toda la pantalla. Adjunto pantallazo
Adjunto: [AGGIBMZTENYZ6AT8UY9MT8UY9M2JGY]
</t>
        </is>
      </c>
      <c r="G60" s="2" t="inlineStr">
        <is>
          <t>SERVICIOS DE TECNOLOGIA-SOPORTE EQUIPOS DE COMPUTO-FALLA</t>
        </is>
      </c>
      <c r="H60" s="2" t="inlineStr">
        <is>
          <t>Portal - Web</t>
        </is>
      </c>
      <c r="I60" s="2" t="inlineStr">
        <is>
          <t>Baja</t>
        </is>
      </c>
      <c r="J60" s="4">
        <v>46230.78989583333</v>
      </c>
      <c r="K60" s="2" t="inlineStr">
        <is>
          <t>DANIEL ALEJANDRO BORDA MESTIZO</t>
        </is>
      </c>
      <c r="L60" s="2" t="inlineStr">
        <is>
          <t>ZONA CENTRO</t>
        </is>
      </c>
      <c r="M60" s="2" t="inlineStr">
        <is>
          <t>SERVICIOS DE TI</t>
        </is>
      </c>
      <c r="N60" s="2"/>
      <c r="O60" s="2" t="inlineStr">
        <is>
          <t>CENTRO DE SERVICIOS COMPARTIDOS</t>
        </is>
      </c>
      <c r="P60" s="2"/>
      <c r="Q60" s="2" t="inlineStr">
        <is>
          <t>AGGIBMZTENYZ6AT8UY9RT8UY9R2J06</t>
        </is>
      </c>
      <c r="R60" s="2" t="inlineStr">
        <is>
          <t>a) 0-4</t>
        </is>
      </c>
      <c r="S60" s="2" t="inlineStr">
        <is>
          <t>-</t>
        </is>
      </c>
      <c r="T60" s="2" t="inlineStr">
        <is>
          <t>29/07/2026 10:57:27</t>
        </is>
      </c>
    </row>
    <row r="61">
      <c r="A61" s="2" t="inlineStr">
        <is>
          <t>🟢</t>
        </is>
      </c>
      <c r="B61" s="3" t="str">
        <f>HYPERLINK("https://compensar-smartit.onbmc.com/smartit/app/#/incident/IDGIBMZTENYZ6AT8VTILT8VTILKIBM","INC000000154507")</f>
        <v>INC000000154507</v>
      </c>
      <c r="C61" s="2" t="inlineStr">
        <is>
          <t>No</t>
        </is>
      </c>
      <c r="D61" s="2" t="inlineStr">
        <is>
          <t>falla novedad con el equipo</t>
        </is>
      </c>
      <c r="E61" s="2" t="inlineStr">
        <is>
          <t>Asignado</t>
        </is>
      </c>
      <c r="F61" s="2" t="inlineStr">
        <is>
          <t>Usuario:Martha Lucia Cufiño Parra
Informa: El usuario   se comunica indicando que presenta falla novedad al momento de realizar el equipo no enciende genera mensaje de alerta azul 
activo : 15280024064
Ubicación:primera de mayo de mayo piso 5 consultorio 524
Tiempo:5:57 a. m. 28/07/2026
Impacto:  Usuarios afectados:1
El usuario indica que no cuenta con dispositivo para adjuntar la evidencia de la novedad.
usuaria corta la llamada y solo indico ext 11615 indicando que el numero es personal razón por la cual no lo suministro</t>
        </is>
      </c>
      <c r="G61" s="2" t="inlineStr">
        <is>
          <t>SERVICIOS DE TECNOLOGIA-REDES-CONEXION FALLIDA</t>
        </is>
      </c>
      <c r="H61" s="2" t="inlineStr">
        <is>
          <t>Telefono</t>
        </is>
      </c>
      <c r="I61" s="2" t="inlineStr">
        <is>
          <t>Baja</t>
        </is>
      </c>
      <c r="J61" s="4">
        <v>46231.2559375</v>
      </c>
      <c r="K61" s="2" t="inlineStr">
        <is>
          <t>ALEX STEVEN RODRIGUEZ CARDENAS</t>
        </is>
      </c>
      <c r="L61" s="2" t="inlineStr">
        <is>
          <t>SPT CABECERA 1 MAYO</t>
        </is>
      </c>
      <c r="M61" s="2" t="inlineStr">
        <is>
          <t>SERVICIOS DE TI</t>
        </is>
      </c>
      <c r="N61" s="2" t="inlineStr">
        <is>
          <t>C0024064</t>
        </is>
      </c>
      <c r="O61" s="2" t="inlineStr">
        <is>
          <t>BIENESTAR Y DESARROLLO SOCIAL</t>
        </is>
      </c>
      <c r="P61" s="2"/>
      <c r="Q61" s="2" t="inlineStr">
        <is>
          <t>IDGIBMZTENYZ6AT8VTILT8VTILKIBM</t>
        </is>
      </c>
      <c r="R61" s="2" t="inlineStr">
        <is>
          <t>a) 0-4</t>
        </is>
      </c>
      <c r="S61" s="2" t="inlineStr">
        <is>
          <t>-</t>
        </is>
      </c>
      <c r="T61" s="2" t="inlineStr">
        <is>
          <t>28/07/2026 14:08:33</t>
        </is>
      </c>
    </row>
    <row r="62">
      <c r="A62" s="2" t="inlineStr">
        <is>
          <t>🟢</t>
        </is>
      </c>
      <c r="B62" s="3" t="str">
        <f>HYPERLINK("https://compensar-smartit.onbmc.com/smartit/app/#/incident/IDGIBMZTENYZ6AT8VUTTT8VUTTKVHV","INC000000154510")</f>
        <v>INC000000154510</v>
      </c>
      <c r="C62" s="2" t="inlineStr">
        <is>
          <t>No</t>
        </is>
      </c>
      <c r="D62" s="2" t="inlineStr">
        <is>
          <t>Falla Equipo - Lentitud</t>
        </is>
      </c>
      <c r="E62" s="2" t="inlineStr">
        <is>
          <t>Asignado</t>
        </is>
      </c>
      <c r="F62" s="2" t="inlineStr">
        <is>
          <t>Usuario: Alexandra Calderon 
Informa: El equipo no permite descargar archivos por que tiene memoria llena, se cierran todas pantallas y el fondo queda negro, esta presentando lentitud. Se intenta tomar el equipo remoto pero se corta la asistencia rápida y el usuario esta tomando asistencia y no es posible seguir con el soporte prefiere que alguien se acerque a validar el equipo
📍 Ubicación: CUR OLIMPICA 2 
Tiempo: 6:32
Impacto: 1</t>
        </is>
      </c>
      <c r="G62" s="2" t="inlineStr">
        <is>
          <t>SERVICIOS DE TECNOLOGIA-SOPORTE EQUIPOS DE COMPUTO-LENTITUD</t>
        </is>
      </c>
      <c r="H62" s="2" t="inlineStr">
        <is>
          <t>Telefono</t>
        </is>
      </c>
      <c r="I62" s="2" t="inlineStr">
        <is>
          <t>Baja</t>
        </is>
      </c>
      <c r="J62" s="4">
        <v>46231.276192129626</v>
      </c>
      <c r="K62" s="2" t="inlineStr">
        <is>
          <t>DILAN SAMIR LOPEZ ARAUJO</t>
        </is>
      </c>
      <c r="L62" s="2" t="inlineStr">
        <is>
          <t>ZONA CENTRO</t>
        </is>
      </c>
      <c r="M62" s="2" t="inlineStr">
        <is>
          <t>SERVICIOS DE TI</t>
        </is>
      </c>
      <c r="N62" s="2"/>
      <c r="O62" s="2" t="inlineStr">
        <is>
          <t>CLIENTES</t>
        </is>
      </c>
      <c r="P62" s="2"/>
      <c r="Q62" s="2" t="inlineStr">
        <is>
          <t>IDGIBMZTENYZ6AT8VUTTT8VUTTKVHV</t>
        </is>
      </c>
      <c r="R62" s="2" t="inlineStr">
        <is>
          <t>a) 0-4</t>
        </is>
      </c>
      <c r="S62" s="2" t="inlineStr">
        <is>
          <t>-</t>
        </is>
      </c>
      <c r="T62" s="2" t="inlineStr">
        <is>
          <t>29/07/2026 12:37:43</t>
        </is>
      </c>
    </row>
    <row r="63">
      <c r="A63" s="2" t="inlineStr">
        <is>
          <t>🟢</t>
        </is>
      </c>
      <c r="B63" s="3" t="str">
        <f>HYPERLINK("https://compensar-smartit.onbmc.com/smartit/app/#/incident/IDGIBMZTENYZ6AT8VV0VT8VV0VKZSC","INC000000154513")</f>
        <v>INC000000154513</v>
      </c>
      <c r="C63" s="2" t="inlineStr">
        <is>
          <t>No</t>
        </is>
      </c>
      <c r="D63" s="2" t="inlineStr">
        <is>
          <t>Falla equipo -  Fuera del dominio</t>
        </is>
      </c>
      <c r="E63" s="2" t="inlineStr">
        <is>
          <t>Asignado</t>
        </is>
      </c>
      <c r="F63" s="2" t="inlineStr">
        <is>
          <t>Usuario: Sonia Guayazan
Informa: Necesita activar la cuenta por que llego de vacaciones, se valida la cuenta esta activa pero no recuerda la contraseña, esta desde casa no reconoce la contraseña si se restablece, manifiesta que necesita prioridad en el caso ya que hoy comienza labores. 
📍 Ubicación: Movilidad
Tiempo: 6:40
Impacto: 1</t>
        </is>
      </c>
      <c r="G63" s="2" t="inlineStr">
        <is>
          <t>SERVICIOS DE TECNOLOGIA-SOPORTE EQUIPOS DE COMPUTO-FALLA</t>
        </is>
      </c>
      <c r="H63" s="2" t="inlineStr">
        <is>
          <t>Telefono</t>
        </is>
      </c>
      <c r="I63" s="2" t="inlineStr">
        <is>
          <t>Baja</t>
        </is>
      </c>
      <c r="J63" s="4">
        <v>46231.28304398148</v>
      </c>
      <c r="K63" s="2" t="inlineStr">
        <is>
          <t>ANDERSON JULIAN RATIVA RAMIREZ</t>
        </is>
      </c>
      <c r="L63" s="2" t="inlineStr">
        <is>
          <t>ZONA CENTRO</t>
        </is>
      </c>
      <c r="M63" s="2" t="inlineStr">
        <is>
          <t>SERVICIOS DE TI</t>
        </is>
      </c>
      <c r="N63" s="2"/>
      <c r="O63" s="2" t="inlineStr">
        <is>
          <t>CLIENTES</t>
        </is>
      </c>
      <c r="P63" s="2"/>
      <c r="Q63" s="2" t="inlineStr">
        <is>
          <t>IDGIBMZTENYZ6AT8VV0VT8VV0VKZSC</t>
        </is>
      </c>
      <c r="R63" s="2" t="inlineStr">
        <is>
          <t>a) 0-4</t>
        </is>
      </c>
      <c r="S63" s="2" t="inlineStr">
        <is>
          <t>-</t>
        </is>
      </c>
      <c r="T63" s="2" t="inlineStr">
        <is>
          <t>29/07/2026 12:47:35</t>
        </is>
      </c>
    </row>
    <row r="64">
      <c r="A64" s="2" t="inlineStr">
        <is>
          <t>🟢</t>
        </is>
      </c>
      <c r="B64" s="3" t="str">
        <f>HYPERLINK("https://compensar-smartit.onbmc.com/smartit/app/#/incident/IDGIBMZTENYZ6AT8VWGLT8VWGLL3F6","INC000000154514")</f>
        <v>INC000000154514</v>
      </c>
      <c r="C64" s="2" t="inlineStr">
        <is>
          <t>No</t>
        </is>
      </c>
      <c r="D64" s="2" t="inlineStr">
        <is>
          <t>Inconveniente de inicio de sesión por relación de confianza con el dominio</t>
        </is>
      </c>
      <c r="E64" s="2" t="inlineStr">
        <is>
          <t>Asignado</t>
        </is>
      </c>
      <c r="F64" s="2" t="inlineStr">
        <is>
          <t>Usuario: Fredy Andres Barragan Acevedo
Teléfono: 3105523338
CC: 74186830
Informa: El usuario se comunica con la Mesa de Servicio indicando que se encontraba trabajando con normalidad; sin embargo, al intentar iniciar sesión nuevamente, el equipo presentó un mensaje indicando que la base de datos de seguridad no tiene una cuenta para la relación de confianza con el dominio.
Ubicación: Centro Nariño piso 1 consultorio 23 
Tiempo: 6:38 a. m. 28/07/2026
Evidencias:
1. Se validó el inconveniente reportado.
2. Se identificó que el error corresponde a una relación de confianza con el dominio.
3. Se escaló el caso para la respectiva validación.</t>
        </is>
      </c>
      <c r="G64" s="2" t="inlineStr">
        <is>
          <t>SERVICIOS DE TECNOLOGIA-SOPORTE EQUIPOS DE COMPUTO-FALLA</t>
        </is>
      </c>
      <c r="H64" s="2" t="inlineStr">
        <is>
          <t>Telefono</t>
        </is>
      </c>
      <c r="I64" s="2" t="inlineStr">
        <is>
          <t>Baja</t>
        </is>
      </c>
      <c r="J64" s="4">
        <v>46231.296377314815</v>
      </c>
      <c r="K64" s="2" t="inlineStr">
        <is>
          <t>SANTIAGO PERDOMO ACERO</t>
        </is>
      </c>
      <c r="L64" s="2" t="inlineStr">
        <is>
          <t>SPT ZONA CENTRO</t>
        </is>
      </c>
      <c r="M64" s="2" t="inlineStr">
        <is>
          <t>SERVICIOS DE TI</t>
        </is>
      </c>
      <c r="N64" s="2"/>
      <c r="O64" s="2" t="inlineStr">
        <is>
          <t>SALUD</t>
        </is>
      </c>
      <c r="P64" s="2"/>
      <c r="Q64" s="2" t="inlineStr">
        <is>
          <t>IDGIBMZTENYZ6AT8VWGLT8VWGLL3F6</t>
        </is>
      </c>
      <c r="R64" s="2" t="inlineStr">
        <is>
          <t>a) 0-4</t>
        </is>
      </c>
      <c r="S64" s="2" t="inlineStr">
        <is>
          <t>-</t>
        </is>
      </c>
      <c r="T64" s="2" t="inlineStr">
        <is>
          <t>28/07/2026 15:06:47</t>
        </is>
      </c>
    </row>
    <row r="65">
      <c r="A65" s="2" t="inlineStr">
        <is>
          <t>🟢</t>
        </is>
      </c>
      <c r="B65" s="3" t="str">
        <f>HYPERLINK("https://compensar-smartit.onbmc.com/smartit/app/#/incident/AGGIBMZTENYZ6AT8VY5PT8VY5PMZ5F","INC000000154520")</f>
        <v>INC000000154520</v>
      </c>
      <c r="C65" s="2" t="inlineStr">
        <is>
          <t>No</t>
        </is>
      </c>
      <c r="D65" s="2" t="inlineStr">
        <is>
          <t>Falla en Equipo</t>
        </is>
      </c>
      <c r="E65" s="2" t="inlineStr">
        <is>
          <t>Asignado</t>
        </is>
      </c>
      <c r="F65" s="2" t="inlineStr">
        <is>
          <t>Ubicación para atención del Servicio: BLOQUE F TORRE F PISO 3 CONVENIOS COMEDORES ESCOLARES
Número de contacto para la atención del servicio: 3102384485
Frente: BIENESTAR Y DESARROLLO SOCIAL
Falla: NO ENCIENDE/NO FUNCIONA
¿Cual es el dispositivo que presenta la falla?: [MOUSE]
Nombre de equipo (inventario o placa): 152800003418
Descripción del incidente o falla: BUEN DÍA, MOUSE NO FUNCIONA, , POR FAVOR COMUNICAR A ERICK TORRES, UBICAD@ EN LA DIRECCIÓN CALLE 19 NO 79 - 37, COLEGIO LA FELICIDAD (IED), AL NÚMERO CELULAR 3102384485, ACTIVO 152800003418 EN ELCASO DE REQUERIR CAMBIO DE LOS PERIFERICOS PARA LA ATENCION , POR FAVOR DEJAR IMPLEMENTO DE CONTINGENCIA PARA CONTINUIDAD DE LA OPERACION
</t>
        </is>
      </c>
      <c r="G65" s="2" t="inlineStr">
        <is>
          <t>SERVICIOS DE TECNOLOGIA-SOPORTE EQUIPOS DE COMPUTO-FALLA</t>
        </is>
      </c>
      <c r="H65" s="2" t="inlineStr">
        <is>
          <t>Portal - Web</t>
        </is>
      </c>
      <c r="I65" s="2" t="inlineStr">
        <is>
          <t>Baja</t>
        </is>
      </c>
      <c r="J65" s="4">
        <v>46231.328206018516</v>
      </c>
      <c r="K65" s="2" t="inlineStr">
        <is>
          <t>NICK STEVE TRIANA LOPEZ</t>
        </is>
      </c>
      <c r="L65" s="2" t="inlineStr">
        <is>
          <t>ZONA OCCIDENTE</t>
        </is>
      </c>
      <c r="M65" s="2" t="inlineStr">
        <is>
          <t>SERVICIOS DE TI</t>
        </is>
      </c>
      <c r="N65" s="2"/>
      <c r="O65" s="2" t="inlineStr">
        <is>
          <t>BIENESTAR Y DESARROLLO SOCIAL</t>
        </is>
      </c>
      <c r="P65" s="2"/>
      <c r="Q65" s="2" t="inlineStr">
        <is>
          <t>AGGIBMZTENYZ6AT8VY5PT8VY5PMZ5F</t>
        </is>
      </c>
      <c r="R65" s="2" t="inlineStr">
        <is>
          <t>a) 0-4</t>
        </is>
      </c>
      <c r="S65" s="2" t="inlineStr">
        <is>
          <t>-</t>
        </is>
      </c>
      <c r="T65" s="2" t="inlineStr">
        <is>
          <t>29/07/2026 13:52:37</t>
        </is>
      </c>
    </row>
    <row r="66">
      <c r="A66" s="2" t="inlineStr">
        <is>
          <t>🟢</t>
        </is>
      </c>
      <c r="B66" s="3" t="str">
        <f>HYPERLINK("https://compensar-smartit.onbmc.com/smartit/app/#/incident/IDGIBMZTENYZ6AT8VZ2BT8VZ2BOCHO","INC000000154523")</f>
        <v>INC000000154523</v>
      </c>
      <c r="C66" s="2" t="inlineStr">
        <is>
          <t>No</t>
        </is>
      </c>
      <c r="D66" s="2" t="inlineStr">
        <is>
          <t>Falla del equipo por lentitud en la carga de páginas</t>
        </is>
      </c>
      <c r="E66" s="2" t="inlineStr">
        <is>
          <t>Asignado</t>
        </is>
      </c>
      <c r="F66" s="2" t="inlineStr">
        <is>
          <t>Usuario: Sara Mireya Torres Fernandez
Teléfono: 3124889372
CC: 1052358579
Informa: La usuaria se comunica con la Mesa de Servicio indicando que el equipo presenta fallas y las páginas no cargan.
Ubicación: Calle 26, piso 4, ventanilla 4
Tiempo: 6:38 a. m. 28/07/2026
Evidencias:
1. Se intentó realizar conexión remota al equipo de la usuaria.
2. La herramienta de asistencia remota permaneció cargando y no permitió establecer la conexión.
3. No fue posible realizar la validación remota del inconveniente.
4. Se escaló el caso para la respectiva validación.</t>
        </is>
      </c>
      <c r="G66" s="2" t="inlineStr">
        <is>
          <t>SERVICIOS DE TECNOLOGIA-SOPORTE EQUIPOS DE COMPUTO-FALLA</t>
        </is>
      </c>
      <c r="H66" s="2" t="inlineStr">
        <is>
          <t>Telefono</t>
        </is>
      </c>
      <c r="I66" s="2" t="inlineStr">
        <is>
          <t>Baja</t>
        </is>
      </c>
      <c r="J66" s="4">
        <v>46231.3425462963</v>
      </c>
      <c r="K66" s="2" t="inlineStr">
        <is>
          <t>CAMILO ANDRES GONZALEZ NARVAEZ</t>
        </is>
      </c>
      <c r="L66" s="2" t="inlineStr">
        <is>
          <t>SPT CABECERA CALLE 26</t>
        </is>
      </c>
      <c r="M66" s="2" t="inlineStr">
        <is>
          <t>SERVICIOS DE TI</t>
        </is>
      </c>
      <c r="N66" s="2"/>
      <c r="O66" s="2" t="inlineStr">
        <is>
          <t>SALUD</t>
        </is>
      </c>
      <c r="P66" s="2"/>
      <c r="Q66" s="2" t="inlineStr">
        <is>
          <t>IDGIBMZTENYZ6AT8VZ2BT8VZ2BOCHO</t>
        </is>
      </c>
      <c r="R66" s="2" t="inlineStr">
        <is>
          <t>a) 0-4</t>
        </is>
      </c>
      <c r="S66" s="2" t="inlineStr">
        <is>
          <t>-</t>
        </is>
      </c>
      <c r="T66" s="2" t="inlineStr">
        <is>
          <t>28/07/2026 16:13:16</t>
        </is>
      </c>
    </row>
    <row r="67">
      <c r="A67" s="2" t="inlineStr">
        <is>
          <t>🟢</t>
        </is>
      </c>
      <c r="B67" s="3" t="str">
        <f>HYPERLINK("https://compensar-smartit.onbmc.com/smartit/app/#/incident/IDGIBMZTENYZ6AT8VZWZT8VZWZOWMN","INC000000154525")</f>
        <v>INC000000154525</v>
      </c>
      <c r="C67" s="2" t="inlineStr">
        <is>
          <t>No</t>
        </is>
      </c>
      <c r="D67" s="2" t="inlineStr">
        <is>
          <t>Falla de equipo – Pantalla negra</t>
        </is>
      </c>
      <c r="E67" s="2" t="inlineStr">
        <is>
          <t>Asignado</t>
        </is>
      </c>
      <c r="F67" s="2" t="inlineStr">
        <is>
          <t>Usuario: La usuaria ANGIE PAOLA GARZON CASTILLO se comunica con la mesa de servicio para notificar una falla en el equipo, debido a que presenta pantalla negra.
Informa: La usuaria informa que el equipo presenta pantalla negra. Se intenta realizar conexión mediante la herramienta de asistencia remota; sin embargo, no es posible establecer la conexión debido a la condición del equipo. La usuaria informa que el día de mañana estará en la sede Carrera 69 para continuar con la validación.
Ubicación: Movilidad. La usuaria informa que el día de mañana estará en la sede Carrera 69.
Tiempo: 8:19 a. m. 28/07/2026.
Impacto: 1.
Placa de equipo: C00873.
Evidencias:
1. Se recibe la novedad reportada por la usuaria.
2. Se intenta realizar conexión mediante la herramienta de asistencia remota.
3. Se evidencia que no es posible establecer la conexión debido al estado del equipo.
4. La usuaria informa que el día siguiente estará en la sede Carrera 69 para continuar con la validación.</t>
        </is>
      </c>
      <c r="G67" s="2" t="inlineStr">
        <is>
          <t>SERVICIOS DE TECNOLOGIA-SOPORTE EQUIPOS DE COMPUTO-DANO</t>
        </is>
      </c>
      <c r="H67" s="2" t="inlineStr">
        <is>
          <t>Telefono</t>
        </is>
      </c>
      <c r="I67" s="2" t="inlineStr">
        <is>
          <t>Baja</t>
        </is>
      </c>
      <c r="J67" s="4">
        <v>46231.35287037037</v>
      </c>
      <c r="K67" s="2" t="inlineStr">
        <is>
          <t>JOSE ARLEY SANCHEZ COLORADO</t>
        </is>
      </c>
      <c r="L67" s="2" t="inlineStr">
        <is>
          <t>SPT CABECERA CARRERA 69</t>
        </is>
      </c>
      <c r="M67" s="2" t="inlineStr">
        <is>
          <t>SERVICIOS DE TI</t>
        </is>
      </c>
      <c r="N67" s="2" t="inlineStr">
        <is>
          <t>C008731</t>
        </is>
      </c>
      <c r="O67" s="2" t="inlineStr">
        <is>
          <t>SALUD</t>
        </is>
      </c>
      <c r="P67" s="2"/>
      <c r="Q67" s="2" t="inlineStr">
        <is>
          <t>IDGIBMZTENYZ6AT8VZWZT8VZWZOWMN</t>
        </is>
      </c>
      <c r="R67" s="2" t="inlineStr">
        <is>
          <t>a) 0-4</t>
        </is>
      </c>
      <c r="S67" s="2" t="inlineStr">
        <is>
          <t>-</t>
        </is>
      </c>
      <c r="T67" s="2" t="inlineStr">
        <is>
          <t>28/07/2026 16:28:08</t>
        </is>
      </c>
    </row>
    <row r="68">
      <c r="A68" s="2" t="inlineStr">
        <is>
          <t>🟢</t>
        </is>
      </c>
      <c r="B68" s="3" t="str">
        <f>HYPERLINK("https://compensar-smartit.onbmc.com/smartit/app/#/incident/IDGIBMZTENYZ6AT8WBHIT8WBHIRB0W","INC000000154531")</f>
        <v>INC000000154531</v>
      </c>
      <c r="C68" s="2" t="inlineStr">
        <is>
          <t>No</t>
        </is>
      </c>
      <c r="D68" s="2" t="inlineStr">
        <is>
          <t>Falla de conectividad en aplicación Idéntica - Falta de hosteo</t>
        </is>
      </c>
      <c r="E68" s="2" t="inlineStr">
        <is>
          <t>Asignado</t>
        </is>
      </c>
      <c r="F68" s="2" t="inlineStr">
        <is>
          <t>Usuario: YULI ALEXANDRA CAMACHO
Informa: La usuaria presenta inconvenientes con la aplicación Identica, la cual no tiene conectividad de red después del cambio de equipo realizado por renovación tecnológica. Se informa que el equipo requiere el hosteo correspondiente, ya que esta configuración no fue aplicada durante el reemplazo. La novedad es reportada por otro colaborador debido a que la usuaria se encuentra en atención permanente y no es posible realizar validaciones remotas.
Ubicación: Sede San Roque - Piso 1 - Ventanilla 4
Tiempo: 08:37 28/07/2026
Impacto: Usuarios afectados 1
Placa de equipo: No especificada
Evidencias:
1. Se recibió el reporte por parte de Harol Giovanny Flórez Rubiano.
2. Se validó que el inconveniente se presenta en la aplicación Identica instalada en el nuevo equipo.
3. Se identificó que el equipo requiere la configuración del host, la cual no fue realizada durante el cambio por renovación tecnológica.
4. Se confirmó que no fue posible realizar validaciones remotas debido a que la usuaria se encuentra en atención permanente.
5. Se documentó la novedad para la gestión correspondiente.
6. Se registró la cédula de la usuaria: 1026598747.
7. Se registró el teléfono de contacto de la usuaria: 322859583.
8. Se registró como contacto que reporta la novedad: Harol Giovanny Flórez Rubiano - 3124445225.</t>
        </is>
      </c>
      <c r="G68" s="2" t="inlineStr">
        <is>
          <t>SERVICIOS DE TECNOLOGIA-APLICACIONES DE NEGOCIO-FALLA</t>
        </is>
      </c>
      <c r="H68" s="2" t="inlineStr">
        <is>
          <t>Telefono</t>
        </is>
      </c>
      <c r="I68" s="2" t="inlineStr">
        <is>
          <t>Baja</t>
        </is>
      </c>
      <c r="J68" s="4">
        <v>46231.37116898148</v>
      </c>
      <c r="K68" s="2" t="inlineStr">
        <is>
          <t>EDWIN ALEXIS PATIÑO TEJEDOR</t>
        </is>
      </c>
      <c r="L68" s="2" t="inlineStr">
        <is>
          <t>SPT ZONA NORTE</t>
        </is>
      </c>
      <c r="M68" s="2" t="inlineStr">
        <is>
          <t>SERVICIOS DE TI</t>
        </is>
      </c>
      <c r="N68" s="2" t="inlineStr">
        <is>
          <t>SISTEMA OPERATIVO WINDOWS</t>
        </is>
      </c>
      <c r="O68" s="2" t="inlineStr">
        <is>
          <t>SALUD</t>
        </is>
      </c>
      <c r="P68" s="2"/>
      <c r="Q68" s="2" t="inlineStr">
        <is>
          <t>IDGIBMZTENYZ6AT8WBHIT8WBHIRB0W</t>
        </is>
      </c>
      <c r="R68" s="2" t="inlineStr">
        <is>
          <t>a) 0-4</t>
        </is>
      </c>
      <c r="S68" s="2" t="inlineStr">
        <is>
          <t>-</t>
        </is>
      </c>
      <c r="T68" s="2" t="inlineStr">
        <is>
          <t>28/07/2026 16:54:29</t>
        </is>
      </c>
    </row>
    <row r="69">
      <c r="A69" s="2" t="inlineStr">
        <is>
          <t>🟢</t>
        </is>
      </c>
      <c r="B69" s="3" t="str">
        <f>HYPERLINK("https://compensar-smartit.onbmc.com/smartit/app/#/incident/IDGIBMZTENYZ6AT8WBXDT8WBXDSHQF","INC000000154536")</f>
        <v>INC000000154536</v>
      </c>
      <c r="C69" s="2" t="inlineStr">
        <is>
          <t>No</t>
        </is>
      </c>
      <c r="D69" s="2" t="inlineStr">
        <is>
          <t>Falla Equipo - Lentitud</t>
        </is>
      </c>
      <c r="E69" s="2" t="inlineStr">
        <is>
          <t>En curso</t>
        </is>
      </c>
      <c r="F69" s="2" t="inlineStr">
        <is>
          <t>Usuario: Katherine Vargas
Informa: El equipo esta lento, manifiesta que el disco duro esta lleno y el equipo no permite realizar ninguna actividad, indica que ya esta en el area de tecnologia para revisar el equipo. 
ACTIVO: P014857
📍 Ubicación: CSDE TECNOLOGIA
Tiempo: 9:08
Impacto: 1</t>
        </is>
      </c>
      <c r="G69" s="2" t="inlineStr">
        <is>
          <t>SERVICIOS DE TECNOLOGIA-SOPORTE EQUIPOS DE COMPUTO-LENTITUD</t>
        </is>
      </c>
      <c r="H69" s="2" t="inlineStr">
        <is>
          <t>Telefono</t>
        </is>
      </c>
      <c r="I69" s="2" t="inlineStr">
        <is>
          <t>Baja</t>
        </is>
      </c>
      <c r="J69" s="4">
        <v>46231.38207175926</v>
      </c>
      <c r="K69" s="2" t="inlineStr">
        <is>
          <t>JUAN CAMILO RINCON BLANCO</t>
        </is>
      </c>
      <c r="L69" s="2" t="inlineStr">
        <is>
          <t>ZONA CENTRO</t>
        </is>
      </c>
      <c r="M69" s="2" t="inlineStr">
        <is>
          <t>SERVICIOS DE TI</t>
        </is>
      </c>
      <c r="N69" s="2" t="inlineStr">
        <is>
          <t>P014857</t>
        </is>
      </c>
      <c r="O69" s="2" t="inlineStr">
        <is>
          <t>CLIENTES</t>
        </is>
      </c>
      <c r="P69" s="2"/>
      <c r="Q69" s="2" t="inlineStr">
        <is>
          <t>IDGIBMZTENYZ6AT8WBXDT8WBXDSHQF</t>
        </is>
      </c>
      <c r="R69" s="2" t="inlineStr">
        <is>
          <t>a) 0-4</t>
        </is>
      </c>
      <c r="S69" s="2" t="inlineStr">
        <is>
          <t>-</t>
        </is>
      </c>
      <c r="T69" s="2" t="inlineStr">
        <is>
          <t>29/07/2026 15:10:11</t>
        </is>
      </c>
    </row>
    <row r="70">
      <c r="A70" s="2" t="inlineStr">
        <is>
          <t>🟢</t>
        </is>
      </c>
      <c r="B70" s="3" t="str">
        <f>HYPERLINK("https://compensar-smartit.onbmc.com/smartit/app/#/incident/IDGIBMZTENYZ6AT8WC5HT8WC5HSV60","INC000000154538")</f>
        <v>INC000000154538</v>
      </c>
      <c r="C70" s="2" t="inlineStr">
        <is>
          <t>No</t>
        </is>
      </c>
      <c r="D70" s="2" t="inlineStr">
        <is>
          <t>Lentitud Recurrente del Equipo al Utilizar Herramientas de Office en el navegador</t>
        </is>
      </c>
      <c r="E70" s="2" t="inlineStr">
        <is>
          <t>Asignado</t>
        </is>
      </c>
      <c r="F70" s="2" t="inlineStr">
        <is>
          <t>Usuario: Lizandro Diaz Beltran
CC: 1005653673
Teléfono: 3162124134
Correo: LDIAZB@compensar.com
Placa del equipo: P017208
Incidente reportado: El usuario informa que el equipo presenta lentitud de forma recurrente y solicita soporte en sitio. Indica que el inconveniente se presenta al acceder a las herramientas de Office desde el navegador, generando errores y tiempos de respuesta elevados. El problema se soluciona temporalmente al reiniciar el equipo.
Soporte de primer nivel: N/A
Ubicación: CEF Divertimento, Piso 2, Mecatrónica.
Fecha y hora de reporte: 28/07/2026 – 9:11 a. m.
Impacto: 1
Evidencias: No adjunta evidencias.
Descripción del caso:
El usuario Lizandro Diaz Beltran reporta que su equipo presenta lentitud de manera recurrente, especialmente al utilizar las herramientas de Microsoft Office desde el navegador. Indica que el acceso a las aplicaciones se vuelve muy lento y presenta errores, afectando el desarrollo de sus actividades. El inconveniente se corrige temporalmente al reiniciar el equipo, pero vuelve a presentarse posteriormente. Se solicita soporte en sitio para validar el estado del equipo, el rendimiento del sistema, el navegador y los recursos del equipo, con el fin de identificar la causa raíz y restablecer el funcionamiento adecuado.</t>
        </is>
      </c>
      <c r="G70" s="2" t="inlineStr">
        <is>
          <t>SERVICIOS DE TECNOLOGIA-APLICACIONES DE NEGOCIO-LENTITUD</t>
        </is>
      </c>
      <c r="H70" s="2" t="inlineStr">
        <is>
          <t>Telefono</t>
        </is>
      </c>
      <c r="I70" s="2" t="inlineStr">
        <is>
          <t>Baja</t>
        </is>
      </c>
      <c r="J70" s="4">
        <v>46231.40443287037</v>
      </c>
      <c r="K70" s="2" t="inlineStr">
        <is>
          <t>KEVIN ALEXIS GARCIA GUARACA</t>
        </is>
      </c>
      <c r="L70" s="2" t="inlineStr">
        <is>
          <t>ZONA CENTRO</t>
        </is>
      </c>
      <c r="M70" s="2" t="inlineStr">
        <is>
          <t>SERVICIOS DE TI</t>
        </is>
      </c>
      <c r="N70" s="2" t="inlineStr">
        <is>
          <t>P017208</t>
        </is>
      </c>
      <c r="O70" s="2" t="inlineStr">
        <is>
          <t>BIENESTAR Y DESARROLLO SOCIAL</t>
        </is>
      </c>
      <c r="P70" s="2"/>
      <c r="Q70" s="2" t="inlineStr">
        <is>
          <t>IDGIBMZTENYZ6AT8WC5HT8WC5HSV60</t>
        </is>
      </c>
      <c r="R70" s="2" t="inlineStr">
        <is>
          <t>a) 0-4</t>
        </is>
      </c>
      <c r="S70" s="2" t="inlineStr">
        <is>
          <t>-</t>
        </is>
      </c>
      <c r="T70" s="2" t="inlineStr">
        <is>
          <t>29/07/2026 15:42:23</t>
        </is>
      </c>
    </row>
    <row r="71">
      <c r="A71" s="2" t="inlineStr">
        <is>
          <t>🟢</t>
        </is>
      </c>
      <c r="B71" s="3" t="str">
        <f>HYPERLINK("https://compensar-smartit.onbmc.com/smartit/app/#/incident/IDGIBMZTENYZ6AT8WDAHT8WDAHTO7U","INC000000154539")</f>
        <v>INC000000154539</v>
      </c>
      <c r="C71" s="2" t="inlineStr">
        <is>
          <t>No</t>
        </is>
      </c>
      <c r="D71" s="2" t="inlineStr">
        <is>
          <t>Lentitud en equipo de cómputo</t>
        </is>
      </c>
      <c r="E71" s="2" t="inlineStr">
        <is>
          <t>Asignado</t>
        </is>
      </c>
      <c r="F71" s="2" t="inlineStr">
        <is>
          <t>Usuario: FRANCIA LILIANA RAMÍREZ OTÁLVARO
Informa: La usuaria se comunica con la Mesa de Servicio indicando que el equipo presenta alta lentitud y requiere revisión. informa que el equipo se encuentra actualmente asignado a otra persona. Se valida que aún no se ha radicado la solicitud de reasignación del activo.
Usuario para contacto
ANDREA BENAVIDES
3017577482
Ubicación: CUR EN ADM -
Tiempo: No especificado
Impacto: Usuarios afectados 1
Placa de equipo: No especificada
Evidencias:
1. Se recibió el reporte relacionado con la lentitud del equipo de cómputo.
2. Se informó que el equipo se encuentra en uso por otra persona.
3. Se validó que no existe una solicitud radicada para la reasignación del activo.
4. Se documentó la novedad para la gestión correspondiente.
5. Se registró la cédula de la usuaria: 30505607.
6. Se registró como contacto a Andrea Benavides, teléfono 3017577482.</t>
        </is>
      </c>
      <c r="G71" s="2" t="inlineStr">
        <is>
          <t>SERVICIOS DE TECNOLOGIA-SOPORTE EQUIPOS DE COMPUTO-LENTITUD</t>
        </is>
      </c>
      <c r="H71" s="2" t="inlineStr">
        <is>
          <t>Telefono</t>
        </is>
      </c>
      <c r="I71" s="2" t="inlineStr">
        <is>
          <t>Baja</t>
        </is>
      </c>
      <c r="J71" s="4">
        <v>46231.399375</v>
      </c>
      <c r="K71" s="2" t="inlineStr">
        <is>
          <t>ANDERSON JULIAN RATIVA RAMIREZ</t>
        </is>
      </c>
      <c r="L71" s="2" t="inlineStr">
        <is>
          <t>ZONA CENTRO</t>
        </is>
      </c>
      <c r="M71" s="2" t="inlineStr">
        <is>
          <t>SERVICIOS DE TI</t>
        </is>
      </c>
      <c r="N71" s="2" t="inlineStr">
        <is>
          <t>WINDOWS 10 PROFESSIONAL</t>
        </is>
      </c>
      <c r="O71" s="2" t="inlineStr">
        <is>
          <t>SALUD</t>
        </is>
      </c>
      <c r="P71" s="2"/>
      <c r="Q71" s="2" t="inlineStr">
        <is>
          <t>IDGIBMZTENYZ6AT8WDAHT8WDAHTO7U</t>
        </is>
      </c>
      <c r="R71" s="2" t="inlineStr">
        <is>
          <t>a) 0-4</t>
        </is>
      </c>
      <c r="S71" s="2" t="inlineStr">
        <is>
          <t>-</t>
        </is>
      </c>
      <c r="T71" s="2" t="inlineStr">
        <is>
          <t>29/07/2026 15:35:06</t>
        </is>
      </c>
    </row>
    <row r="72">
      <c r="A72" s="2" t="inlineStr">
        <is>
          <t>🟢</t>
        </is>
      </c>
      <c r="B72" s="3" t="str">
        <f>HYPERLINK("https://compensar-smartit.onbmc.com/smartit/app/#/incident/IDGIBMZTENYZ6AT8WD6LT8WD6LUIT1","INC000000154542")</f>
        <v>INC000000154542</v>
      </c>
      <c r="C72" s="2" t="inlineStr">
        <is>
          <t>No</t>
        </is>
      </c>
      <c r="D72" s="2" t="inlineStr">
        <is>
          <t>Falla de inicio de sesión por usuario temporal</t>
        </is>
      </c>
      <c r="E72" s="2" t="inlineStr">
        <is>
          <t>Asignado</t>
        </is>
      </c>
      <c r="F72" s="2" t="inlineStr">
        <is>
          <t>Usuario        : Donny Milena Velasquez Puentes
CC             : 52741489
Tel            : 3184224319
Informa        : La colaboradora reporta falla del equipo, debido a que no permite su uso. Se evidencia que la cuenta es reconocida como usuario temporal y genera mensaje de error o bloqueo.
Ubicación      : Centro Nariño Piso 1 Ventanilla 6
Tiempo         : 9:37 a. m. 28/07/2026
Impacto        : 1
Placa de equipo: C008725
Evidencias     : No especificada</t>
        </is>
      </c>
      <c r="G72" s="2" t="inlineStr">
        <is>
          <t>SERVICIOS DE TECNOLOGIA-APLICACIONES DE NEGOCIO-ACCESO DENEGADO</t>
        </is>
      </c>
      <c r="H72" s="2" t="inlineStr">
        <is>
          <t>Telefono</t>
        </is>
      </c>
      <c r="I72" s="2" t="inlineStr">
        <is>
          <t>Baja</t>
        </is>
      </c>
      <c r="J72" s="4">
        <v>46231.41175925926</v>
      </c>
      <c r="K72" s="2" t="inlineStr">
        <is>
          <t>SANTIAGO PERDOMO ACERO</t>
        </is>
      </c>
      <c r="L72" s="2" t="inlineStr">
        <is>
          <t>SPT ZONA CENTRO</t>
        </is>
      </c>
      <c r="M72" s="2" t="inlineStr">
        <is>
          <t>SERVICIOS DE TI</t>
        </is>
      </c>
      <c r="N72" s="2" t="inlineStr">
        <is>
          <t>C008725</t>
        </is>
      </c>
      <c r="O72" s="2" t="inlineStr">
        <is>
          <t>SALUD</t>
        </is>
      </c>
      <c r="P72" s="2"/>
      <c r="Q72" s="2" t="inlineStr">
        <is>
          <t>IDGIBMZTENYZ6AT8WD6LT8WD6LUIT1</t>
        </is>
      </c>
      <c r="R72" s="2" t="inlineStr">
        <is>
          <t>a) 0-4</t>
        </is>
      </c>
      <c r="S72" s="2" t="inlineStr">
        <is>
          <t>-</t>
        </is>
      </c>
      <c r="T72" s="2" t="inlineStr">
        <is>
          <t>28/07/2026 17:52:56</t>
        </is>
      </c>
    </row>
  </sheetData>
</worksheet>
</file>

<file path=xl/worksheets/sheet1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2.271999999999998" customWidth="1"/>
    <col min="2" max="2" width="41.064" customWidth="1"/>
    <col min="3" max="3" width="29.5" customWidth="1"/>
    <col min="4" max="4" width="180.54" customWidth="1"/>
    <col min="7" max="7" width="37.052" customWidth="1"/>
    <col min="9" max="9" width="23.836" customWidth="1"/>
    <col min="10" max="10" width="44.367999999999995" customWidth="1"/>
  </cols>
  <sheetData>
    <row r="1">
      <c r="A1" s="1" t="inlineStr">
        <is>
          <t>🚦</t>
        </is>
      </c>
      <c r="B1" s="1" t="inlineStr">
        <is>
          <t>No Caso</t>
        </is>
      </c>
      <c r="C1" s="1" t="inlineStr">
        <is>
          <t>SLA Vencido</t>
        </is>
      </c>
      <c r="D1" s="1" t="inlineStr">
        <is>
          <t>Resumen</t>
        </is>
      </c>
      <c r="E1" s="1" t="inlineStr">
        <is>
          <t>Estado</t>
        </is>
      </c>
      <c r="F1" s="1" t="inlineStr">
        <is>
          <t>Descripcion</t>
        </is>
      </c>
      <c r="G1" s="1" t="inlineStr">
        <is>
          <t>Categoria</t>
        </is>
      </c>
      <c r="H1" s="1" t="inlineStr">
        <is>
          <t>Fuente Reportada</t>
        </is>
      </c>
      <c r="I1" s="1" t="inlineStr">
        <is>
          <t>Prioridad</t>
        </is>
      </c>
      <c r="J1" s="1" t="inlineStr">
        <is>
          <t>Fecha de creación</t>
        </is>
      </c>
      <c r="K1" s="1" t="inlineStr">
        <is>
          <t>Asignado a</t>
        </is>
      </c>
      <c r="L1" s="1" t="inlineStr">
        <is>
          <t>Grupo</t>
        </is>
      </c>
      <c r="M1" s="1" t="inlineStr">
        <is>
          <t>Organizacion de Soporte</t>
        </is>
      </c>
      <c r="N1" s="1" t="inlineStr">
        <is>
          <t>CI</t>
        </is>
      </c>
      <c r="O1" s="1" t="inlineStr">
        <is>
          <t>Frente de Negocio</t>
        </is>
      </c>
      <c r="P1" s="1" t="inlineStr">
        <is>
          <t>Causa</t>
        </is>
      </c>
      <c r="Q1" s="1" t="inlineStr">
        <is>
          <t>InstanceId</t>
        </is>
      </c>
      <c r="R1" s="1" t="inlineStr">
        <is>
          <t>Antiguedad</t>
        </is>
      </c>
      <c r="S1" s="1" t="inlineStr">
        <is>
          <t>Fecha de Reactivación Pendiente</t>
        </is>
      </c>
      <c r="T1" s="1" t="inlineStr">
        <is>
          <t>Organization</t>
        </is>
      </c>
      <c r="U1" s="1" t="inlineStr">
        <is>
          <t>Fecha Incumplimiento</t>
        </is>
      </c>
      <c r="V1" s="1" t="inlineStr">
        <is>
          <t>Tiempo incumplimiento previsto</t>
        </is>
      </c>
    </row>
    <row r="2">
      <c r="A2" s="2" t="inlineStr">
        <is>
          <t>🟢</t>
        </is>
      </c>
      <c r="B2" s="3" t="str">
        <f>HYPERLINK("https://compensar-smartit.onbmc.com/smartit/app/#/workorder/IDGH043EBA7IUAT7EGPGT7EGPGZUAC","WO0000000300081")</f>
        <v>WO0000000300081</v>
      </c>
      <c r="C2" s="2" t="inlineStr">
        <is>
          <t>No</t>
        </is>
      </c>
      <c r="D2" s="2" t="inlineStr">
        <is>
          <t>Envio/instalación TECLADO ALAMBRICO DELL OPTIPLEX 3050 MICRO WIN 7 activo 176389</t>
        </is>
      </c>
      <c r="E2" s="2" t="inlineStr">
        <is>
          <t>Asignado</t>
        </is>
      </c>
      <c r="F2" s="2" t="inlineStr">
        <is>
          <t>Usuario: LEYDi CEVALLOS TORO
Informa: La usuaria se comunica con la Mesa de Servicio indicando que el equipo presenta una falla de encendido, ya que al intentar utilizarlo este enciende y se apaga de manera repetitiva. Debido al comportamiento presentado, no es posible acceder al sistema ni realizar conexión mediante Asistencia Rápida.
Ubicación: Brasilia Sede B, Cra. 98 #54C-04 Sur, Bogotá, Colegio
Tiempo: 12:00 18/06/2026
Impacto: Usuarios afectados 1
Placa de equipo: C176389
Evidencias:
1. Se recibe reporte relacionado con falla de encendido del equipo.
2. La usuaria informa que el equipo enciende y se apaga de manera continua.
3. Se valida que no es posible acceder al sistema operativo.
4. No es posible realizar atención mediante Asistencia Rápida debido a que el equipo no completa el proceso de inicio.
5. Se documenta la novedad presentada en el equipo con placa C176389.
6. Se requiere revisión técnica en sitio para diagnóstico y atención de la falla de hardware o energía</t>
        </is>
      </c>
      <c r="G2" s="2" t="inlineStr">
        <is>
          <t>SERVICIOS DE TECNOLOGIA-ACTIVOS FIJOS TECNOLOGIA-ADQUISICION PARTES SIN GARANTIA</t>
        </is>
      </c>
      <c r="H2" s="2" t="inlineStr">
        <is>
          <t>Web</t>
        </is>
      </c>
      <c r="I2" s="2" t="inlineStr">
        <is>
          <t>Baja</t>
        </is>
      </c>
      <c r="J2" s="5">
        <v>46196.89444444444</v>
      </c>
      <c r="K2" s="2" t="inlineStr">
        <is>
          <t>MICHAEL STEVEN FRAILE GOMEZ</t>
        </is>
      </c>
      <c r="L2" s="2" t="inlineStr">
        <is>
          <t>ZONA SURORIENTE</t>
        </is>
      </c>
      <c r="M2" s="2" t="inlineStr">
        <is>
          <t>SERVICIOS DE TI</t>
        </is>
      </c>
      <c r="N2" s="2"/>
      <c r="O2" s="2" t="inlineStr">
        <is>
          <t>BIENESTAR Y DESARROLLO SOCIAL</t>
        </is>
      </c>
      <c r="P2" s="2"/>
      <c r="Q2" s="2" t="inlineStr">
        <is>
          <t>IDGH043EBA7IUAT7EGPGT7EGPGZUAC</t>
        </is>
      </c>
      <c r="R2" s="2" t="inlineStr">
        <is>
          <t>d) 31-60</t>
        </is>
      </c>
      <c r="S2" s="4"/>
      <c r="T2" s="2" t="inlineStr">
        <is>
          <t>CAJA DE COMPENSACION</t>
        </is>
      </c>
      <c r="U2" s="2" t="inlineStr">
        <is>
          <t>-</t>
        </is>
      </c>
      <c r="V2" s="2" t="inlineStr">
        <is>
          <t>26/08/2026 09:15</t>
        </is>
      </c>
    </row>
    <row r="3">
      <c r="A3" s="2" t="inlineStr">
        <is>
          <t>🟢</t>
        </is>
      </c>
      <c r="B3" s="3" t="str">
        <f>HYPERLINK("https://compensar-smartit.onbmc.com/smartit/app/#/workorder/IDGGSWY0I24JCAT7UUYET7UUYEPC33","WO0000000305336")</f>
        <v>WO0000000305336</v>
      </c>
      <c r="C3" s="2" t="inlineStr">
        <is>
          <t>No</t>
        </is>
      </c>
      <c r="D3" s="2" t="inlineStr">
        <is>
          <t>Envio/instalación TECLADO ALAMBRICO DELL OPTIPLEX 3050 MICRO WIN 7 activo 176389</t>
        </is>
      </c>
      <c r="E3" s="2" t="inlineStr">
        <is>
          <t>En curso</t>
        </is>
      </c>
      <c r="F3" s="2" t="inlineStr">
        <is>
          <t>Se realiza validación en sitio y se observa que varias de las teclas del equipo  dejan de funcionar lo que dificulta el trabajo del funcionario, se adjuntan evidencias e información del equipo.</t>
        </is>
      </c>
      <c r="G3" s="2" t="inlineStr">
        <is>
          <t>SERVICIOS DE TECNOLOGIA-ACTIVOS FIJOS TECNOLOGIA-ADQUISICION PARTES SIN GARANTIA</t>
        </is>
      </c>
      <c r="H3" s="2" t="inlineStr">
        <is>
          <t>Web</t>
        </is>
      </c>
      <c r="I3" s="2" t="inlineStr">
        <is>
          <t>Baja</t>
        </is>
      </c>
      <c r="J3" s="5">
        <v>46211.29791666667</v>
      </c>
      <c r="K3" s="2" t="inlineStr">
        <is>
          <t>MICHAEL STEVEN FRAILE GOMEZ</t>
        </is>
      </c>
      <c r="L3" s="2" t="inlineStr">
        <is>
          <t>ZONA SURORIENTE</t>
        </is>
      </c>
      <c r="M3" s="2" t="inlineStr">
        <is>
          <t>SERVICIOS DE TI</t>
        </is>
      </c>
      <c r="N3" s="2"/>
      <c r="O3" s="2" t="inlineStr">
        <is>
          <t>BIENESTAR Y DESARROLLO SOCIAL</t>
        </is>
      </c>
      <c r="P3" s="2"/>
      <c r="Q3" s="2" t="inlineStr">
        <is>
          <t>IDGGSWY0I24JCAT7UUYET7UUYEPC33</t>
        </is>
      </c>
      <c r="R3" s="2" t="inlineStr">
        <is>
          <t>c) 11-30</t>
        </is>
      </c>
      <c r="S3" s="4"/>
      <c r="T3" s="2"/>
      <c r="U3" s="2" t="inlineStr">
        <is>
          <t>-</t>
        </is>
      </c>
      <c r="V3" s="2" t="inlineStr">
        <is>
          <t>27/08/2026 09:19</t>
        </is>
      </c>
    </row>
    <row r="4">
      <c r="A4" s="2" t="inlineStr">
        <is>
          <t>🟢</t>
        </is>
      </c>
      <c r="B4" s="3" t="str">
        <f>HYPERLINK("https://compensar-smartit.onbmc.com/smartit/app/#/workorder/IDGIBMZTENYZ6AT8G2TJT8G2TJXDBF","WO0000000307614")</f>
        <v>WO0000000307614</v>
      </c>
      <c r="C4" s="2" t="inlineStr">
        <is>
          <t>No</t>
        </is>
      </c>
      <c r="D4" s="2" t="inlineStr">
        <is>
          <t>Envio/instalación BATERIA HP ELITEBOOK 845 G7 activo 152800009330</t>
        </is>
      </c>
      <c r="E4" s="2" t="inlineStr">
        <is>
          <t>Asignado</t>
        </is>
      </c>
      <c r="F4" s="2" t="inlineStr">
        <is>
          <t>Usuario: Gerty Gonzalez Martinez 
CC: 52542956
Tel: 3228868113
Informa: la batería se descarga muy rápido 
Ubicación: movilidad (sede principal empresarial , piso 2 )
Tiempo: 10:51 a. m. 3/07/2026
Impacto: 1
Evidencias:  Se hace diagnostico de la batería por el aplicativo de análisis ,  Se escala para su gestión
Numero activo : P009330</t>
        </is>
      </c>
      <c r="G4" s="2" t="inlineStr">
        <is>
          <t>SERVICIOS DE TECNOLOGIA-ACTIVOS FIJOS TECNOLOGIA-ADQUISICION PARTES SIN GARANTIA</t>
        </is>
      </c>
      <c r="H4" s="2" t="inlineStr">
        <is>
          <t>Web</t>
        </is>
      </c>
      <c r="I4" s="2" t="inlineStr">
        <is>
          <t>Baja</t>
        </is>
      </c>
      <c r="J4" s="5">
        <v>46217.50902777778</v>
      </c>
      <c r="K4" s="2" t="inlineStr">
        <is>
          <t>GERLYN RENTERIA OROZCO</t>
        </is>
      </c>
      <c r="L4" s="2" t="inlineStr">
        <is>
          <t>ZONA CENTRO</t>
        </is>
      </c>
      <c r="M4" s="2" t="inlineStr">
        <is>
          <t>SERVICIOS DE TI</t>
        </is>
      </c>
      <c r="N4" s="2"/>
      <c r="O4" s="2" t="inlineStr">
        <is>
          <t>BIENESTAR Y DESARROLLO SOCIAL</t>
        </is>
      </c>
      <c r="P4" s="2"/>
      <c r="Q4" s="2" t="inlineStr">
        <is>
          <t>IDGIBMZTENYZ6AT8G2TJT8G2TJXDBF</t>
        </is>
      </c>
      <c r="R4" s="2" t="inlineStr">
        <is>
          <t>c) 11-30</t>
        </is>
      </c>
      <c r="S4" s="4"/>
      <c r="T4" s="2"/>
      <c r="U4" s="2" t="inlineStr">
        <is>
          <t>-</t>
        </is>
      </c>
      <c r="V4" s="2" t="inlineStr">
        <is>
          <t>27/08/2026 09:34</t>
        </is>
      </c>
    </row>
    <row r="5">
      <c r="A5" s="2" t="inlineStr">
        <is>
          <t>🟢</t>
        </is>
      </c>
      <c r="B5" s="3" t="str">
        <f>HYPERLINK("https://compensar-smartit.onbmc.com/smartit/app/#/workorder/IDGIBMZTENYZ6AT8G38PT8G38PY1L0","WO0000000307624")</f>
        <v>WO0000000307624</v>
      </c>
      <c r="C5" s="2" t="inlineStr">
        <is>
          <t>No</t>
        </is>
      </c>
      <c r="D5" s="2" t="inlineStr">
        <is>
          <t>Envio/instalación MONITOR DESKTOP DELL OPTIPLEX 3050 T1 activo 152800003768</t>
        </is>
      </c>
      <c r="E5" s="2" t="inlineStr">
        <is>
          <t>En curso</t>
        </is>
      </c>
      <c r="F5" s="2" t="inlineStr">
        <is>
          <t>BUEN DÍA, MONITOR NO PRENDE, YA SE A CARGADO LAS ORDES NO 629424 , 658392 EN LAS CUALES LA SOLUCION NO ES LA ADECUADA , POR FAVOR COMUNICAR A JAKELINE HURTADO MORENO, UBICAD@ EN LA DIRECCIÓN CARRERA 80 B NO 6-71, COLEGIO EMMA REYES (IED), AL NÚMERO CELULAR 3016945284, ACTIVO 152800003768 EN ELCASO DE REQUERIR CAMBIO DE LOS PERIFERICOS PARA LA ATENCION , POR FAVOR DEJAR IMPLEMENTO DE CONTINGENCIA PARA CONTINUIDAD DE LA OPERACION</t>
        </is>
      </c>
      <c r="G5" s="2" t="inlineStr">
        <is>
          <t>SERVICIOS DE TECNOLOGIA-ACTIVOS FIJOS TECNOLOGIA-ADQUISICION PARTES SIN GARANTIA</t>
        </is>
      </c>
      <c r="H5" s="2" t="inlineStr">
        <is>
          <t>Web</t>
        </is>
      </c>
      <c r="I5" s="2" t="inlineStr">
        <is>
          <t>Baja</t>
        </is>
      </c>
      <c r="J5" s="5">
        <v>46217.51597222222</v>
      </c>
      <c r="K5" s="2" t="inlineStr">
        <is>
          <t>NICK STEVE TRIANA LOPEZ</t>
        </is>
      </c>
      <c r="L5" s="2" t="inlineStr">
        <is>
          <t>ZONA CENTRO</t>
        </is>
      </c>
      <c r="M5" s="2" t="inlineStr">
        <is>
          <t>SERVICIOS DE TI</t>
        </is>
      </c>
      <c r="N5" s="2"/>
      <c r="O5" s="2" t="inlineStr">
        <is>
          <t>BIENESTAR Y DESARROLLO SOCIAL</t>
        </is>
      </c>
      <c r="P5" s="2"/>
      <c r="Q5" s="2" t="inlineStr">
        <is>
          <t>IDGIBMZTENYZ6AT8G38PT8G38PY1L0</t>
        </is>
      </c>
      <c r="R5" s="2" t="inlineStr">
        <is>
          <t>c) 11-30</t>
        </is>
      </c>
      <c r="S5" s="4"/>
      <c r="T5" s="2"/>
      <c r="U5" s="2" t="inlineStr">
        <is>
          <t>-</t>
        </is>
      </c>
      <c r="V5" s="2" t="inlineStr">
        <is>
          <t>13/08/2026 12:23</t>
        </is>
      </c>
    </row>
    <row r="6">
      <c r="A6" s="2" t="inlineStr">
        <is>
          <t>🟢</t>
        </is>
      </c>
      <c r="B6" s="3" t="str">
        <f>HYPERLINK("https://compensar-smartit.onbmc.com/smartit/app/#/workorder/IDGIBMZTENYZ6AT8G4XJT8G4XJA1FK","WO0000000307635")</f>
        <v>WO0000000307635</v>
      </c>
      <c r="C6" s="2" t="inlineStr">
        <is>
          <t>No</t>
        </is>
      </c>
      <c r="D6" s="2" t="inlineStr">
        <is>
          <t>Envio/instalación KIT ALAMBRICO TECLADO - MOUSE DELL OPTIPLEX 3050 T3 activo 152800003582</t>
        </is>
      </c>
      <c r="E6" s="2" t="inlineStr">
        <is>
          <t>Asignado</t>
        </is>
      </c>
      <c r="F6" s="2" t="inlineStr">
        <is>
          <t>amablemente se solicita garantía de mouse y teclado correspondiente al equipo con placa 152800003582 de la sede COLEGIO PORFIRIO BARBA JACOB (IED) - CALLE 70 A SUR # 81 G - 13</t>
        </is>
      </c>
      <c r="G6" s="2" t="inlineStr">
        <is>
          <t>SERVICIOS DE TECNOLOGIA-ACTIVOS FIJOS TECNOLOGIA-ADQUISICION PARTES SIN GARANTIA</t>
        </is>
      </c>
      <c r="H6" s="2" t="inlineStr">
        <is>
          <t>Web</t>
        </is>
      </c>
      <c r="I6" s="2" t="inlineStr">
        <is>
          <t>Baja</t>
        </is>
      </c>
      <c r="J6" s="5">
        <v>46217.53680555556</v>
      </c>
      <c r="K6" s="2" t="inlineStr">
        <is>
          <t>MICHAEL STEVEN FRAILE GOMEZ</t>
        </is>
      </c>
      <c r="L6" s="2" t="inlineStr">
        <is>
          <t>ZONA SURORIENTE</t>
        </is>
      </c>
      <c r="M6" s="2" t="inlineStr">
        <is>
          <t>SERVICIOS DE TI</t>
        </is>
      </c>
      <c r="N6" s="2"/>
      <c r="O6" s="2" t="inlineStr">
        <is>
          <t>BIENESTAR Y DESARROLLO SOCIAL</t>
        </is>
      </c>
      <c r="P6" s="2"/>
      <c r="Q6" s="2" t="inlineStr">
        <is>
          <t>IDGIBMZTENYZ6AT8G4XJT8G4XJA1FK</t>
        </is>
      </c>
      <c r="R6" s="2" t="inlineStr">
        <is>
          <t>c) 11-30</t>
        </is>
      </c>
      <c r="S6" s="4"/>
      <c r="T6" s="2"/>
      <c r="U6" s="2" t="inlineStr">
        <is>
          <t>-</t>
        </is>
      </c>
      <c r="V6" s="2" t="inlineStr">
        <is>
          <t>27/08/2026 09:32</t>
        </is>
      </c>
    </row>
    <row r="7">
      <c r="A7" s="2" t="inlineStr">
        <is>
          <t>🟢</t>
        </is>
      </c>
      <c r="B7" s="3" t="str">
        <f>HYPERLINK("https://compensar-smartit.onbmc.com/smartit/app/#/workorder/AGGGSWY0I24JCAT8JYMBT8JYMBEQG0","WO0000000308723")</f>
        <v>WO0000000308723</v>
      </c>
      <c r="C7" s="2" t="inlineStr">
        <is>
          <t>No</t>
        </is>
      </c>
      <c r="D7" s="2" t="inlineStr">
        <is>
          <t>Asesoría, Acompañamiento, Actividades en Sitio y Entrega de Informes</t>
        </is>
      </c>
      <c r="E7" s="2" t="inlineStr">
        <is>
          <t>Pendiente</t>
        </is>
      </c>
      <c r="F7" s="2" t="inlineStr">
        <is>
          <t>Ubicación para atención del Servicio: SUBA INTEGRAL TORRE A PISO 1 MODULOS AUTOSERVICIO
Número de contacto para la atención del servicio: 13925
Frente: CORPORATIVO
Titulo: CRQ000000020128 - SESIONES TEAMS 21 AL 29 JULIO 10PM- PRUEBAS SERVICIOS POR AJUSTES MEJORAS SDWAN SUBA, CSDE, CLL220, CRA60, LAGOMAR, LAGOSOL
Descripción: Cordial Saludo Ingenieros Jairo, Gerson e Ingenieros Sonda
Informamos que los días martes 21, miércoles 22, jueves 23, lunes 27, martes 28, y miércoles 29 de julio desde las 10:00pm bajo el cambio CRQ000000020128 por parte del proveedor CLARO se realizara ajustes en el servicio SDWAN de sedes de SUBA INTEGRAL, SEDE EMPRESARIAL CSDE, CALLE 220, CARRERA60, LAGOMAR, LAGOSOL para mejorar la disponibilidad y balanceo del tráfico, por lo cual agradecemos su ayuda en apoyarnos en programar los recursos de Seguridad Electrónica, Plataforma TI, Soporte en sitio o remoto de Sonda y soporte Telefonía para probar los servicios o elementos de configuración que ustedes tenga a cargo bajo su administración en estas sedes, la idea es que el recurso de Sonda, Plataforma TI, Seguridad Electrónica y telefonía que ustedes puedan asignar pueda ingresar a la sesión de TEAMS y pueda ir revisando los servicios que ustedes administran una vez que el proveedor CLARO haya ejecutado la mejora en el SDWAN: Estas pruebas están aprobadas por el cambio solicitado por el ingeniero Mauricio Patalagua # CRQ000000020128
1.	El recurso de Sonda se requiere en sitio o de manera remota en las sesiones de TEAMS y que pueda estar conectado a la red Wifi Corporativa o por red cableada a algún PC de la sede, el recurso se requiere para las pruebas en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en donde deberá realizar pruebas de accesos a las diferentes aplicaciones que usan los usuarios como Office, TEAMS, Intranet, Portico, Onbase, sisfam, Andrómeda, digiturno, SAP, CRM, Kactus, entre otros.
2.	El recurso de Plataforma TI se requiere en las sesiones de TEAMS para revisar el estado de sus servicios que tienen en las Sedes como por ejemplo controladores de Dominio, servicios DHCP, entre otros. el recurso se requiere para las pruebas de servicios en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3.	El recurso de Seguridad electrónica se requiere en las sesiónes de TEAMS para revisar el estado de sus servicios que tienen en las sedes como por ejemplo Camaras de Seguridad, DRV ente otras, el recurso se requiere para las pruebas de servicios en las sedes de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4.	El recurso de Telefonia se requiere en las sesiones de TEAMS para revisar el estado de sus servicios que tienen en sede CALLE 94 como por ejemplo telefonía IP, entre otros, el recurso se requiere para probar los servicios en las sedes de SUBA INTEGRAL el martes 21 de julio a las 10pm, SEDE EMPRESARIAL CSDE el miércoles 22 de julio a las 10pm, CALLE 220 el jueves 23 de julio a las 10pm, CARRERA60 el lunes 27 de julio a las 10pm, LAGOMAR el martes 28 de julio a las 10pm, y LAGOSOL el miércoles 29 de julio a las 10pm,
Las actividades de mejora de SD-WAN de CLARO se harán en las siguientes fechas:
21/07/2026 10pm – FW1_COMPENSAR_CLL139_CMP0620 SUBA
22/07/2026 10pm – FW-SEDE_EMPRESARIAL_CMP0032
23/07/2026 10pm – FW1-COMPENSAR-CMP0027-CALLE220
27/07/2026 10pm – FW-COMPENSAR-BOG-CRA60
28/07/2026 10pm – FW-COMPENSAR-LAGOMAR-PP
29/07/2026 10pm – FW-COMPENSAR-LAGOSOL
El enlace de las sesiónes de TEAMS programadas por el proveedor CLARO desde el 21 de julio hasta el 29 de julio es el siguiente agradecemos su asistencia a todos los equipos de Compensar y CLARO a estas sesiones de TEAMS desde las 10pm:
https://teams.microsoft.com/l/meetup-join/19%3ameeting_M2U5YTI1OTgtM2E4Ni00YWJiLWE4NjMtYWEyMjlmMDExYjQy%40thread.v2/0?context=%7b%22Tid%22%3a%2246bb22b8-4c2c-40ff-8360-7b6334821279%22%2c%22Oid%22%3a%22a96058e2-f5a2-4074-bb38-43d9ebe2be12%22%7d
Tipo de Servicio: ACOMPAÑAMIENTO / EJECUCION DE ACTIVIDAD EN SITIO
Grupo Requerido: ZONA NORTE
Fecha requerida para la actividad: 2026-07-21
Duración de la actividad en minutos: 180
Adjunto: [AGGGSWY0I24JCAT8JYL1T8JYL1EPAE]
</t>
        </is>
      </c>
      <c r="G7" s="2" t="inlineStr">
        <is>
          <t>SERVICIOS DE TECNOLOGIA-ASESORIA/ACOMPANAMIENTO/ACTIVIDADES-ACOMPAÑAMIENTO / EJECUCION DE ACTIVIDAD EN SITIO</t>
        </is>
      </c>
      <c r="H7" s="2" t="inlineStr">
        <is>
          <t>Web</t>
        </is>
      </c>
      <c r="I7" s="2" t="inlineStr">
        <is>
          <t>Baja</t>
        </is>
      </c>
      <c r="J7" s="5">
        <v>46219.450694444444</v>
      </c>
      <c r="K7" s="2" t="inlineStr">
        <is>
          <t>DANIEL ALEJANDRO BORDA MESTIZO</t>
        </is>
      </c>
      <c r="L7" s="2" t="inlineStr">
        <is>
          <t>ZONA CENTRO</t>
        </is>
      </c>
      <c r="M7" s="2" t="inlineStr">
        <is>
          <t>SERVICIOS DE TI</t>
        </is>
      </c>
      <c r="N7" s="2"/>
      <c r="O7" s="2" t="inlineStr">
        <is>
          <t>CORPORATIVO</t>
        </is>
      </c>
      <c r="P7" s="2"/>
      <c r="Q7" s="2" t="inlineStr">
        <is>
          <t>AGGGSWY0I24JCAT8JYMBT8JYMBEQG0</t>
        </is>
      </c>
      <c r="R7" s="2" t="inlineStr">
        <is>
          <t>c) 11-30</t>
        </is>
      </c>
      <c r="S7" s="4">
        <v>46233.708333333336</v>
      </c>
      <c r="T7" s="2"/>
      <c r="U7" s="2" t="inlineStr">
        <is>
          <t>-</t>
        </is>
      </c>
      <c r="V7" s="2" t="inlineStr">
        <is>
          <t>24/07/2026 10:31</t>
        </is>
      </c>
    </row>
    <row r="8">
      <c r="A8" s="2" t="inlineStr">
        <is>
          <t>🟢</t>
        </is>
      </c>
      <c r="B8" s="3" t="str">
        <f>HYPERLINK("https://compensar-smartit.onbmc.com/smartit/app/#/workorder/IDGGSWY0I24JCAT81M9DT81M9D1V06","WO0000000309139")</f>
        <v>WO0000000309139</v>
      </c>
      <c r="C8" s="2" t="inlineStr">
        <is>
          <t>No</t>
        </is>
      </c>
      <c r="D8" s="2" t="inlineStr">
        <is>
          <t>Continuación caso: ID de petición 665754</t>
        </is>
      </c>
      <c r="E8" s="2" t="inlineStr">
        <is>
          <t>Pendiente</t>
        </is>
      </c>
      <c r="F8" s="2" t="inlineStr">
        <is>
          <t>Usuaria: Doris Patricia Perez Jaimes
Informa: ""Solicitamos la instalación de VPN pero estaba en vacaciones y me llamaron pero no pude atender la llamada. Me dicen que ya tengo usuario para conectarme pero no tengo la aplicación.""
Ubicación: Movilidad
Tiempo: 8am
Impacto: 1Usuario
Evidencias: No aplica</t>
        </is>
      </c>
      <c r="G8" s="2" t="inlineStr">
        <is>
          <t>SERVICIOS DE TECNOLOGIA-GESTION DE APLICACIONES-INSTALAR DESINSTALAR APLICACION</t>
        </is>
      </c>
      <c r="H8" s="2" t="inlineStr">
        <is>
          <t>Chat</t>
        </is>
      </c>
      <c r="I8" s="2" t="inlineStr">
        <is>
          <t>Baja</t>
        </is>
      </c>
      <c r="J8" s="5">
        <v>46220.353472222225</v>
      </c>
      <c r="K8" s="2" t="inlineStr">
        <is>
          <t>NICK STEVE TRIANA LOPEZ</t>
        </is>
      </c>
      <c r="L8" s="2" t="inlineStr">
        <is>
          <t>ZONA OCCIDENTE</t>
        </is>
      </c>
      <c r="M8" s="2" t="inlineStr">
        <is>
          <t>SERVICIOS DE TI</t>
        </is>
      </c>
      <c r="N8" s="2"/>
      <c r="O8" s="2" t="inlineStr">
        <is>
          <t>SALUD</t>
        </is>
      </c>
      <c r="P8" s="2"/>
      <c r="Q8" s="2" t="inlineStr">
        <is>
          <t>IDGGSWY0I24JCAT81M9DT81M9D1V06</t>
        </is>
      </c>
      <c r="R8" s="2" t="inlineStr">
        <is>
          <t>c) 11-30</t>
        </is>
      </c>
      <c r="S8" s="4">
        <v>46232.75</v>
      </c>
      <c r="T8" s="2"/>
      <c r="U8" s="2" t="inlineStr">
        <is>
          <t>-</t>
        </is>
      </c>
      <c r="V8" s="2" t="inlineStr">
        <is>
          <t>-</t>
        </is>
      </c>
    </row>
    <row r="9">
      <c r="A9" s="2" t="inlineStr">
        <is>
          <t>🟢</t>
        </is>
      </c>
      <c r="B9" s="3" t="str">
        <f>HYPERLINK("https://compensar-smartit.onbmc.com/smartit/app/#/workorder/IDGIBMZTENYZ6AT81X4ET81X4EZI8R","WO0000000309520")</f>
        <v>WO0000000309520</v>
      </c>
      <c r="C9" s="2" t="inlineStr">
        <is>
          <t>No</t>
        </is>
      </c>
      <c r="D9" s="2" t="inlineStr">
        <is>
          <t>Falla en Equipo</t>
        </is>
      </c>
      <c r="E9" s="2" t="inlineStr">
        <is>
          <t>En curso</t>
        </is>
      </c>
      <c r="F9" s="2" t="inlineStr">
        <is>
          <t>Ubicación para atención del Servicio: CUR PISO 1 FASE 1
Número de contacto para la atención del servicio: 3193537158
Frente: BIENESTAR Y DESARROLLO SOCIAL
Falla: NO ENCIENDE/NO FUNCIONA
¿Cual es el dispositivo que presenta la falla?: [MONITOR]
Nombre de equipo (inventario o placa): P013275
Descripción del incidente o falla: **Descripción del requerimiento**
Se genera la presente solicitud debido a la persistencia de una **falla intermitente en la pantalla del equipo**, la cual se manifiesta de manera aleatoria mediante distorsión de imagen, pérdida temporal de video y/o pantalla negra. Debido a la naturaleza intermitente de la novedad, en ocasiones el equipo opera con normalidad, dificultando su reproducción durante las revisiones técnicas.
Cabe resaltar que esta incidencia **ya fue reportada anteriormente**, generándose una solicitud de garantía en la cual el equipo fue evaluado por el fabricante (HP). No obstante, el caso fue cerrado al no evidenciarse la falla durante las pruebas realizadas, determinando en ese momento un funcionamiento normal del equipo.
Actualmente, la novedad se presenta nuevamente y se cuenta con **evidencia fotográfica y videográfica** que documenta el comportamiento reportado por el usuario, confirmando la recurrencia de la falla.
Teniendo en cuenta el historial del activo y la persistencia de la incidencia durante un periodo prolongado, **se solicita la creación de un nuevo proceso de revisión por garantía**, incluyendo la validación de los componentes involucrados, la gestión de partes que se consideren necesarias y una nueva evaluación técnica por parte de HP, con el fin de identificar la causa raíz y proporcionar una solución definitiva. Se adjunta la evidencia correspondiente para soportar la gestión.
Adjunto: [AGGIBMZTENYZ6AT80BN0T80BN0OWQX, AGGIBMZTENYZ6AT80BN0T80BN0OWRG, AGGIBMZTENYZ6AT80BN0T80BN0OWR3]</t>
        </is>
      </c>
      <c r="G9" s="2" t="inlineStr">
        <is>
          <t>SERVICIOS DE TECNOLOGIA-ACTIVOS FIJOS TECNOLOGIA-ADQUISICION PARTES SIN GARANTIA</t>
        </is>
      </c>
      <c r="H9" s="2" t="inlineStr">
        <is>
          <t>Web</t>
        </is>
      </c>
      <c r="I9" s="2" t="inlineStr">
        <is>
          <t>Baja</t>
        </is>
      </c>
      <c r="J9" s="5">
        <v>46220.51666666667</v>
      </c>
      <c r="K9" s="2" t="inlineStr">
        <is>
          <t>KEVIN ALEXIS GARCIA GUARACA</t>
        </is>
      </c>
      <c r="L9" s="2" t="inlineStr">
        <is>
          <t>ZONA CENTRO</t>
        </is>
      </c>
      <c r="M9" s="2" t="inlineStr">
        <is>
          <t>SERVICIOS DE TI</t>
        </is>
      </c>
      <c r="N9" s="2" t="inlineStr">
        <is>
          <t>P013275</t>
        </is>
      </c>
      <c r="O9" s="2" t="inlineStr">
        <is>
          <t>BIENESTAR Y DESARROLLO SOCIAL</t>
        </is>
      </c>
      <c r="P9" s="2"/>
      <c r="Q9" s="2" t="inlineStr">
        <is>
          <t>IDGIBMZTENYZ6AT81X4ET81X4EZI8R</t>
        </is>
      </c>
      <c r="R9" s="2" t="inlineStr">
        <is>
          <t>b) 5-10</t>
        </is>
      </c>
      <c r="S9" s="4"/>
      <c r="T9" s="2" t="inlineStr">
        <is>
          <t>CAJA DE COMPENSACION</t>
        </is>
      </c>
      <c r="U9" s="2" t="inlineStr">
        <is>
          <t>-</t>
        </is>
      </c>
      <c r="V9" s="2" t="inlineStr">
        <is>
          <t>25/08/2026 09:26</t>
        </is>
      </c>
    </row>
    <row r="10">
      <c r="A10" s="2" t="inlineStr">
        <is>
          <t>🟢</t>
        </is>
      </c>
      <c r="B10" s="3" t="str">
        <f>HYPERLINK("https://compensar-smartit.onbmc.com/smartit/app/#/workorder/IDGGSWY0I24JCAT825LFT825LF2BZ1","WO0000000309664")</f>
        <v>WO0000000309664</v>
      </c>
      <c r="C10" s="2" t="inlineStr">
        <is>
          <t>No</t>
        </is>
      </c>
      <c r="D10" s="2" t="inlineStr">
        <is>
          <t>Instalación office</t>
        </is>
      </c>
      <c r="E10" s="2" t="inlineStr">
        <is>
          <t>En curso</t>
        </is>
      </c>
      <c r="F10" s="2" t="inlineStr">
        <is>
          <t>Usuario: Ana Pardo
Informa: Necesita instalar el paqeute de office en el equipo C025632 ya que hicieron el cambio y ahora no les permite abrir las apliaciones y son necesarias para hacer la gestion del ingreso a la bolera. 
📍 Ubicación: BOLERA CEF
ACTIVO: C025632
ACTIVO ANTIGUO: C176443
Tiempo: 18:40 
Impacto: 1</t>
        </is>
      </c>
      <c r="G10" s="2" t="inlineStr">
        <is>
          <t>SERVICIOS DE TECNOLOGIA-APLICACIONES DE NEGOCIO-PARAMETRIZACION APP</t>
        </is>
      </c>
      <c r="H10" s="2" t="inlineStr">
        <is>
          <t>Telefono</t>
        </is>
      </c>
      <c r="I10" s="2" t="inlineStr">
        <is>
          <t>Baja</t>
        </is>
      </c>
      <c r="J10" s="5">
        <v>46220.7875</v>
      </c>
      <c r="K10" s="2" t="inlineStr">
        <is>
          <t>DILAN SAMIR LOPEZ ARAUJO</t>
        </is>
      </c>
      <c r="L10" s="2" t="inlineStr">
        <is>
          <t>ZONA CENTRO</t>
        </is>
      </c>
      <c r="M10" s="2" t="inlineStr">
        <is>
          <t>SERVICIOS DE TI</t>
        </is>
      </c>
      <c r="N10" s="2"/>
      <c r="O10" s="2" t="inlineStr">
        <is>
          <t>CLIENTES</t>
        </is>
      </c>
      <c r="P10" s="2"/>
      <c r="Q10" s="2" t="inlineStr">
        <is>
          <t>IDGGSWY0I24JCAT825LFT825LF2BZ1</t>
        </is>
      </c>
      <c r="R10" s="2" t="inlineStr">
        <is>
          <t>b) 5-10</t>
        </is>
      </c>
      <c r="S10" s="4"/>
      <c r="T10" s="2"/>
      <c r="U10" s="2" t="inlineStr">
        <is>
          <t>-</t>
        </is>
      </c>
      <c r="V10" s="2" t="inlineStr">
        <is>
          <t>31/07/2026 08:05</t>
        </is>
      </c>
    </row>
    <row r="11">
      <c r="A11" s="2" t="inlineStr">
        <is>
          <t>🟢</t>
        </is>
      </c>
      <c r="B11" s="3" t="str">
        <f>HYPERLINK("https://compensar-smartit.onbmc.com/smartit/app/#/workorder/IDGGSWY0I24JCAT893UYT893UYO5KE","WO0000000310224")</f>
        <v>WO0000000310224</v>
      </c>
      <c r="C11" s="2" t="inlineStr">
        <is>
          <t>No</t>
        </is>
      </c>
      <c r="D11" s="2" t="inlineStr">
        <is>
          <t>garantia kit mouse y teclado</t>
        </is>
      </c>
      <c r="E11" s="2" t="inlineStr">
        <is>
          <t>Pendiente</t>
        </is>
      </c>
      <c r="F11" s="2" t="inlineStr">
        <is>
          <t>Amablemente se solicita garantía de mouse y teclado del equipo con placa C017794 de la sede CALLE 59 A SUR # 75 B - 75, COLEGIO LA ESTANCIA - SAN ISIDRO LABRADOR (IED), dado que presenta fallas en su funcionamiento</t>
        </is>
      </c>
      <c r="G11" s="2" t="inlineStr">
        <is>
          <t>SERVICIOS DE TECNOLOGIA-ACTIVOS FIJOS TECNOLOGIA-ADQUISICION PARTES SIN GARANTIA</t>
        </is>
      </c>
      <c r="H11" s="2" t="inlineStr">
        <is>
          <t>Web</t>
        </is>
      </c>
      <c r="I11" s="2" t="inlineStr">
        <is>
          <t>Baja</t>
        </is>
      </c>
      <c r="J11" s="5">
        <v>46224.540972222225</v>
      </c>
      <c r="K11" s="2" t="inlineStr">
        <is>
          <t>MICHAEL STEVEN FRAILE GOMEZ</t>
        </is>
      </c>
      <c r="L11" s="2" t="inlineStr">
        <is>
          <t>ZONA SURORIENTE</t>
        </is>
      </c>
      <c r="M11" s="2" t="inlineStr">
        <is>
          <t>SERVICIOS DE TI</t>
        </is>
      </c>
      <c r="N11" s="2"/>
      <c r="O11" s="2" t="inlineStr">
        <is>
          <t>BIENESTAR Y DESARROLLO SOCIAL</t>
        </is>
      </c>
      <c r="P11" s="2"/>
      <c r="Q11" s="2" t="inlineStr">
        <is>
          <t>IDGGSWY0I24JCAT893UYT893UYO5KE</t>
        </is>
      </c>
      <c r="R11" s="2" t="inlineStr">
        <is>
          <t>b) 5-10</t>
        </is>
      </c>
      <c r="S11" s="4">
        <v>46231.708333333336</v>
      </c>
      <c r="T11" s="2"/>
      <c r="U11" s="2" t="inlineStr">
        <is>
          <t>-</t>
        </is>
      </c>
      <c r="V11" s="2" t="inlineStr">
        <is>
          <t>26/08/2026 16:30</t>
        </is>
      </c>
    </row>
    <row r="12">
      <c r="A12" s="2" t="inlineStr">
        <is>
          <t>🟢</t>
        </is>
      </c>
      <c r="B12" s="3" t="str">
        <f>HYPERLINK("https://compensar-smartit.onbmc.com/smartit/app/#/workorder/IDGIBMZTENYZ6AT898N3T898N3LBIE","WO0000000310343")</f>
        <v>WO0000000310343</v>
      </c>
      <c r="C12" s="2" t="inlineStr">
        <is>
          <t>No</t>
        </is>
      </c>
      <c r="D12" s="2" t="inlineStr">
        <is>
          <t>Alerta CrowdStrike: XDR Indicador de compromiso</t>
        </is>
      </c>
      <c r="E12" s="2" t="inlineStr">
        <is>
          <t>Pendiente</t>
        </is>
      </c>
      <c r="F12" s="2" t="inlineStr">
        <is>
          <t>Cordial saludo,
Se recibe alerta de CrowdStrike XDR Indicator of Compromise (IOC). La detección fue activada porque el proceso DeskRest.exe estableció o intentó establecer comunicación con una dirección IP asociada a un Custom Intelligence Indicator (Custom IOC) configurado en CrowdStrike. El IOC identificado corresponde a la IP 3.33.130.190 la cual tiene reportes como maliciosa
Usuario: CEDELRIOF 
Host: P008122  
IP: 10.80.240.5
Path: C:\Users\CEDELRIOF\AppData\Local\Programs\DeskRest\DeskRest.exe  
  Agradezco su apoyo generando un requerimiento a puesto de trabajo realizando las siguientes validaciones  
•	Validar que las Bases de datos del antivirus se encuentren actualizadas y que el antivirus se encuentre activo, validar agente, si es necesario reinstalar.  
•	Realizar análisis a profundidad de todas las unidades del disco duro con el antivirus.  
•	Validar archivos reportados con el antivirus, confirmando con el usuario si es posible su eliminación y en caso contrario compartir justificación.  
•	Eliminar el programa DeskRest.exe
•	Validar que las políticas de dominio se encuentren al día.  
•	Borrar todo lo relacionados a inicios de sesión en navegadores.  
•	Validar complementos y extensiones de los navegadores.  
•	Eliminar temporales y cache.  
•	Validar que las actualizaciones del Sistema Operativo y suit de office estén al día.  
•	Validar programas o servicios sospechosos o que no deberían estar en ejecución, por ejemplo, terminales en CMD que esté en ejecución pero que el usuario no la haya ejecutado, tomar evidencia.  
Adjuntar en la solicitud, capturas de pantalla donde se observe el resultado de cada una de las validaciones y garantizando que el equipo no presenta amenazas. En caso contrario se solicitará la re-apertura del caso.  
Gracias</t>
        </is>
      </c>
      <c r="G12" s="2" t="inlineStr">
        <is>
          <t>SERVICIOS DE TECNOLOGIA-SOPORTE EQUIPOS DE COMPUTO-ACOMPANAMIENTO</t>
        </is>
      </c>
      <c r="H12" s="2" t="inlineStr">
        <is>
          <t>Web</t>
        </is>
      </c>
      <c r="I12" s="2" t="inlineStr">
        <is>
          <t>Baja</t>
        </is>
      </c>
      <c r="J12" s="5">
        <v>46224.61597222222</v>
      </c>
      <c r="K12" s="2" t="inlineStr">
        <is>
          <t>JUAN CAMILO RINCON BLANCO</t>
        </is>
      </c>
      <c r="L12" s="2" t="inlineStr">
        <is>
          <t>SPT ZONA CENTRO</t>
        </is>
      </c>
      <c r="M12" s="2" t="inlineStr">
        <is>
          <t>SERVICIOS DE TI</t>
        </is>
      </c>
      <c r="N12" s="2"/>
      <c r="O12" s="2" t="inlineStr">
        <is>
          <t>SALUD</t>
        </is>
      </c>
      <c r="P12" s="2"/>
      <c r="Q12" s="2" t="inlineStr">
        <is>
          <t>IDGIBMZTENYZ6AT898N3T898N3LBIE</t>
        </is>
      </c>
      <c r="R12" s="2" t="inlineStr">
        <is>
          <t>b) 5-10</t>
        </is>
      </c>
      <c r="S12" s="4">
        <v>46234.75</v>
      </c>
      <c r="T12" s="2"/>
      <c r="U12" s="2" t="inlineStr">
        <is>
          <t>-</t>
        </is>
      </c>
      <c r="V12" s="2" t="inlineStr">
        <is>
          <t>27/07/2026 12:17</t>
        </is>
      </c>
    </row>
    <row r="13">
      <c r="A13" s="2" t="inlineStr">
        <is>
          <t>🟢</t>
        </is>
      </c>
      <c r="B13" s="3" t="str">
        <f>HYPERLINK("https://compensar-smartit.onbmc.com/smartit/app/#/workorder/IDGGSWY0I24JCAT8LD0UT8LD0UYN2T","WO0000000310669")</f>
        <v>WO0000000310669</v>
      </c>
      <c r="C13" s="2" t="inlineStr">
        <is>
          <t>No</t>
        </is>
      </c>
      <c r="D13" s="2" t="inlineStr">
        <is>
          <t>falla equipo</t>
        </is>
      </c>
      <c r="E13" s="2" t="inlineStr">
        <is>
          <t>En curso</t>
        </is>
      </c>
      <c r="F13" s="2" t="inlineStr">
        <is>
          <t>nforma: La usuaria se comunica con la Mesa de Servicio indicando que el equipo no reconoce los puertos. Se realizan validaciones de primer nivel y se ejecuta la actualización del firmware por voz; sin embargo, el inconveniente persiste. la usuaria indica que requiere el equipo hasta que le hagan cambio del mismo.
Ubicación: MOSQUERA
Tiempo: 08:31 21/07/2026
Impacto: Usuarios afectados 1
Placa de equipo: No especificada
Evidencias:
1. Se recibió el reporte relacionado con el funcionamiento de los puertos del equipo.
2. Se realizaron validaciones de primer nivel.
3. Se ejecutó la actualización del firmware del equipo.
4. Se documentó la gestión realizada para la atención de la novedad.</t>
        </is>
      </c>
      <c r="G13" s="2" t="inlineStr">
        <is>
          <t>SERVICIOS DE TECNOLOGIA-ACTIVOS FIJOS TECNOLOGIA-ADQUISICION PARTES SIN GARANTIA</t>
        </is>
      </c>
      <c r="H13" s="2" t="inlineStr">
        <is>
          <t>Web</t>
        </is>
      </c>
      <c r="I13" s="2" t="inlineStr">
        <is>
          <t>Baja</t>
        </is>
      </c>
      <c r="J13" s="5">
        <v>46225.4625</v>
      </c>
      <c r="K13" s="2" t="inlineStr">
        <is>
          <t>NICK STEVE TRIANA LOPEZ</t>
        </is>
      </c>
      <c r="L13" s="2" t="inlineStr">
        <is>
          <t>ZONA OCCIDENTE</t>
        </is>
      </c>
      <c r="M13" s="2" t="inlineStr">
        <is>
          <t>SERVICIOS DE TI</t>
        </is>
      </c>
      <c r="N13" s="2" t="inlineStr">
        <is>
          <t>P016876</t>
        </is>
      </c>
      <c r="O13" s="2" t="inlineStr">
        <is>
          <t>CORPORATIVO</t>
        </is>
      </c>
      <c r="P13" s="2"/>
      <c r="Q13" s="2" t="inlineStr">
        <is>
          <t>IDGGSWY0I24JCAT8LD0UT8LD0UYN2T</t>
        </is>
      </c>
      <c r="R13" s="2" t="inlineStr">
        <is>
          <t>b) 5-10</t>
        </is>
      </c>
      <c r="S13" s="4"/>
      <c r="T13" s="2"/>
      <c r="U13" s="2" t="inlineStr">
        <is>
          <t>-</t>
        </is>
      </c>
      <c r="V13" s="2" t="inlineStr">
        <is>
          <t>27/08/2026 08:30</t>
        </is>
      </c>
    </row>
    <row r="14">
      <c r="A14" s="2" t="inlineStr">
        <is>
          <t>🔴</t>
        </is>
      </c>
      <c r="B14" s="3" t="str">
        <f>HYPERLINK("https://compensar-smartit.onbmc.com/smartit/app/#/workorder/AGGGSWY0I24JCAT8LGHLT8LGHLDN9A","WO0000000310699")</f>
        <v>WO0000000310699</v>
      </c>
      <c r="C14" s="2" t="inlineStr">
        <is>
          <t>Si</t>
        </is>
      </c>
      <c r="D14" s="2" t="inlineStr">
        <is>
          <t>Solicitud Aplicaciones Comerciales</t>
        </is>
      </c>
      <c r="E14" s="2" t="inlineStr">
        <is>
          <t>Asignado</t>
        </is>
      </c>
      <c r="F14" s="2" t="inlineStr">
        <is>
          <t>Correo: OPMELOR@compensarsalud.com
Telefono: 3102082651
Extensión: 3102082651
Ubicación: CRA 69 B TORRE B PISO 4 AUXILIAR PLANEACION Y SALUD
Usuario: Interno
Frente: SALUD
Tipo de Servicio: LICENCIAMIENTO MICROSOFT
Descripción: Te escribo para solicitar tu visto bueno para la instalación de la licencia de Microsoft Office en mi equipo de escritorio C009062. Actualmente tengo acceso a la versión en línea. Me comuniqué con Mesa de Ayuda y me indicaron que, con tu aprobación, pueden apoyarme con la instalación de la versión de escritorio.
Titulo: instalación de la licencia de Microsoft Office
Codigo del Centro de costo SAP: 
Nombre centro de costo SAP: 
Aplicación: OFFICE 365 ENTERPRISE E1
Nombre del PC: C009062</t>
        </is>
      </c>
      <c r="G14" s="2" t="inlineStr">
        <is>
          <t>SERVICIOS DE TECNOLOGIA-LICENCIAMIENTO-LICENCIAMIENTO MICROSOFT</t>
        </is>
      </c>
      <c r="H14" s="2" t="inlineStr">
        <is>
          <t>Web</t>
        </is>
      </c>
      <c r="I14" s="2" t="inlineStr">
        <is>
          <t>Media</t>
        </is>
      </c>
      <c r="J14" s="5">
        <v>46225.504166666666</v>
      </c>
      <c r="K14" s="2" t="inlineStr">
        <is>
          <t>IVAN FELIPE GARCIA MANRIQUE</t>
        </is>
      </c>
      <c r="L14" s="2" t="inlineStr">
        <is>
          <t>SPT CABECERA CARRERA 69</t>
        </is>
      </c>
      <c r="M14" s="2" t="inlineStr">
        <is>
          <t>SERVICIOS DE TI</t>
        </is>
      </c>
      <c r="N14" s="2"/>
      <c r="O14" s="2" t="inlineStr">
        <is>
          <t>SALUD</t>
        </is>
      </c>
      <c r="P14" s="2"/>
      <c r="Q14" s="2" t="inlineStr">
        <is>
          <t>AGGGSWY0I24JCAT8LGHLT8LGHLDN9A</t>
        </is>
      </c>
      <c r="R14" s="2" t="inlineStr">
        <is>
          <t>b) 5-10</t>
        </is>
      </c>
      <c r="S14" s="4"/>
      <c r="T14" s="2" t="inlineStr">
        <is>
          <t>SALUD</t>
        </is>
      </c>
      <c r="U14" s="2" t="inlineStr">
        <is>
          <t>28/07/2026 08:00</t>
        </is>
      </c>
      <c r="V14" s="2" t="inlineStr">
        <is>
          <t>-</t>
        </is>
      </c>
    </row>
    <row r="15">
      <c r="A15" s="2" t="inlineStr">
        <is>
          <t>🟢</t>
        </is>
      </c>
      <c r="B15" s="3" t="str">
        <f>HYPERLINK("https://compensar-smartit.onbmc.com/smartit/app/#/workorder/IDGIBMZTENYZ6AT8LE16T8LE16L8M4","WO0000000310781")</f>
        <v>WO0000000310781</v>
      </c>
      <c r="C15" s="2" t="inlineStr">
        <is>
          <t>No</t>
        </is>
      </c>
      <c r="D15" s="2" t="inlineStr">
        <is>
          <t>disco lleno c</t>
        </is>
      </c>
      <c r="E15" s="2" t="inlineStr">
        <is>
          <t>Pendiente</t>
        </is>
      </c>
      <c r="F15" s="2" t="inlineStr">
        <is>
          <t>Usuari@:Albert Yezid Saavedra Pamplona
Informa: El usuario se comunica indicando que presenta novedad con un usuario yael disco se encuentra lleno
Tiempo:11:28 a. m. 22/07/2026
Ubicación:CSDE TORRE D PISO 2 ZONA DE TELETRABAJO - 10 PUESTOS
Impacto: Usuarios afectados:1
se toma equipo de manere remota
se libera espacio y se eliminan temporales  pero el disco aun continua en rojo</t>
        </is>
      </c>
      <c r="G15" s="2" t="inlineStr">
        <is>
          <t>SERVICIOS DE TECNOLOGIA-ACOMPANAMIENTO-EJECUCION DE ACTIVIDADES EN SITIO</t>
        </is>
      </c>
      <c r="H15" s="2" t="inlineStr">
        <is>
          <t>Telefono</t>
        </is>
      </c>
      <c r="I15" s="2" t="inlineStr">
        <is>
          <t>Baja</t>
        </is>
      </c>
      <c r="J15" s="5">
        <v>46225.47777777778</v>
      </c>
      <c r="K15" s="2" t="inlineStr">
        <is>
          <t>DILAN SAMIR LOPEZ ARAUJO</t>
        </is>
      </c>
      <c r="L15" s="2" t="inlineStr">
        <is>
          <t>ZONA CENTRO</t>
        </is>
      </c>
      <c r="M15" s="2" t="inlineStr">
        <is>
          <t>SERVICIOS DE TI</t>
        </is>
      </c>
      <c r="N15" s="2"/>
      <c r="O15" s="2" t="inlineStr">
        <is>
          <t>BIENESTAR Y DESARROLLO SOCIAL</t>
        </is>
      </c>
      <c r="P15" s="2"/>
      <c r="Q15" s="2" t="inlineStr">
        <is>
          <t>IDGIBMZTENYZ6AT8LE16T8LE16L8M4</t>
        </is>
      </c>
      <c r="R15" s="2" t="inlineStr">
        <is>
          <t>b) 5-10</t>
        </is>
      </c>
      <c r="S15" s="4">
        <v>46232.708333333336</v>
      </c>
      <c r="T15" s="2"/>
      <c r="U15" s="2" t="inlineStr">
        <is>
          <t>-</t>
        </is>
      </c>
      <c r="V15" s="2" t="inlineStr">
        <is>
          <t>-</t>
        </is>
      </c>
    </row>
    <row r="16">
      <c r="A16" s="2" t="inlineStr">
        <is>
          <t>🟠</t>
        </is>
      </c>
      <c r="B16" s="3" t="str">
        <f>HYPERLINK("https://compensar-smartit.onbmc.com/smartit/app/#/workorder/IDGIBMZTENYZ6AT8LH49T8LH49Q4DO","WO0000000310814")</f>
        <v>WO0000000310814</v>
      </c>
      <c r="C16" s="2" t="inlineStr">
        <is>
          <t>No</t>
        </is>
      </c>
      <c r="D16" s="2" t="inlineStr">
        <is>
          <t>Seguridad Informática - Servicios VPN Salud</t>
        </is>
      </c>
      <c r="E16" s="2" t="inlineStr">
        <is>
          <t>En curso</t>
        </is>
      </c>
      <c r="F16" s="2" t="inlineStr">
        <is>
          <t>Tipo de Servicio :
PERMISOS VPN PRESTACION Y VPN APLICACIONES
Descripción :
AGRADEZCO POR FAVOR ASIGNAR AL DR. DIEGO RICAURTE CC 79413433, VPN APLICATIVOS CON V°B° DE GERENCIA DE SALUD ORAL.</t>
        </is>
      </c>
      <c r="G16" s="2" t="inlineStr">
        <is>
          <t>SERVICIOS DE TECNOLOGIA-SEGURIDAD INFORMATICA-PERMISOS VPN PRESTACION Y VPN APLICACIONES</t>
        </is>
      </c>
      <c r="H16" s="2" t="inlineStr">
        <is>
          <t>Web</t>
        </is>
      </c>
      <c r="I16" s="2" t="inlineStr">
        <is>
          <t>Baja</t>
        </is>
      </c>
      <c r="J16" s="5">
        <v>46225.524305555555</v>
      </c>
      <c r="K16" s="2" t="inlineStr">
        <is>
          <t>IVAN FELIPE GARCIA MANRIQUE</t>
        </is>
      </c>
      <c r="L16" s="2" t="inlineStr">
        <is>
          <t>SPT CABECERA CARRERA 69</t>
        </is>
      </c>
      <c r="M16" s="2" t="inlineStr">
        <is>
          <t>SERVICIOS DE TI</t>
        </is>
      </c>
      <c r="N16" s="2"/>
      <c r="O16" s="2" t="inlineStr">
        <is>
          <t>SALUD</t>
        </is>
      </c>
      <c r="P16" s="2"/>
      <c r="Q16" s="2" t="inlineStr">
        <is>
          <t>IDGIBMZTENYZ6AT8LH49T8LH49Q4DO</t>
        </is>
      </c>
      <c r="R16" s="2" t="inlineStr">
        <is>
          <t>b) 5-10</t>
        </is>
      </c>
      <c r="S16" s="4"/>
      <c r="T16" s="2"/>
      <c r="U16" s="2" t="inlineStr">
        <is>
          <t>-</t>
        </is>
      </c>
      <c r="V16" s="2" t="inlineStr">
        <is>
          <t>29/07/2026 08:00</t>
        </is>
      </c>
    </row>
    <row r="17">
      <c r="A17" s="2" t="inlineStr">
        <is>
          <t>🟢</t>
        </is>
      </c>
      <c r="B17" s="3" t="str">
        <f>HYPERLINK("https://compensar-smartit.onbmc.com/smartit/app/#/workorder/IDGIBMZTENYZ6AT8L7VHT8L7VHDUJ5","WO0000000310896")</f>
        <v>WO0000000310896</v>
      </c>
      <c r="C17" s="2" t="inlineStr">
        <is>
          <t>No</t>
        </is>
      </c>
      <c r="D17" s="2" t="inlineStr">
        <is>
          <t>FALLA EN EQUIPO DE COMPUTO NO ENCIENDE</t>
        </is>
      </c>
      <c r="E17" s="2" t="inlineStr">
        <is>
          <t>En curso</t>
        </is>
      </c>
      <c r="F17" s="2" t="inlineStr">
        <is>
          <t>Aplicación: WINDOWS - P009400
Falla puntual:El usuario Rafael Arturo Romero se comunica reportando fallas de encendido en equipo de computo  no prende.
Medio de Ingreso del caso: Telefonico 
Ubicación del usuario:Sede Empresarial - piso 3 Torre C 
Cantidad de usuarios afectados (en número y letras): 1
¿Afectación generada por RED?: NO 
¿Usa VPN?NO 
Validación realizada en N1:Usuario india que esta en el punto presencial y que técnico de sitio se encuentra en revision .</t>
        </is>
      </c>
      <c r="G17" s="2" t="inlineStr">
        <is>
          <t>SERVICIOS DE TECNOLOGIA-ACTIVOS FIJOS TECNOLOGIA-ADQUISICION PARTES SIN GARANTIA</t>
        </is>
      </c>
      <c r="H17" s="2" t="inlineStr">
        <is>
          <t>Web</t>
        </is>
      </c>
      <c r="I17" s="2" t="inlineStr">
        <is>
          <t>Baja</t>
        </is>
      </c>
      <c r="J17" s="5">
        <v>46225.68472222222</v>
      </c>
      <c r="K17" s="2" t="inlineStr">
        <is>
          <t>ANDERSON JULIAN RATIVA RAMIREZ</t>
        </is>
      </c>
      <c r="L17" s="2" t="inlineStr">
        <is>
          <t>ZONA CENTRO</t>
        </is>
      </c>
      <c r="M17" s="2" t="inlineStr">
        <is>
          <t>SERVICIOS DE TI</t>
        </is>
      </c>
      <c r="N17" s="2"/>
      <c r="O17" s="2" t="inlineStr">
        <is>
          <t>BIENESTAR Y DESARROLLO SOCIAL</t>
        </is>
      </c>
      <c r="P17" s="2" t="inlineStr">
        <is>
          <t>SOLUCION DEFINITIVA</t>
        </is>
      </c>
      <c r="Q17" s="2" t="inlineStr">
        <is>
          <t>IDGIBMZTENYZ6AT8L7VHT8L7VHDUJ5</t>
        </is>
      </c>
      <c r="R17" s="2" t="inlineStr">
        <is>
          <t>b) 5-10</t>
        </is>
      </c>
      <c r="S17" s="4"/>
      <c r="T17" s="2"/>
      <c r="U17" s="2" t="inlineStr">
        <is>
          <t>-</t>
        </is>
      </c>
      <c r="V17" s="2" t="inlineStr">
        <is>
          <t>25/08/2026 10:08</t>
        </is>
      </c>
    </row>
    <row r="18">
      <c r="A18" s="2" t="inlineStr">
        <is>
          <t>🟠</t>
        </is>
      </c>
      <c r="B18" s="3" t="str">
        <f>HYPERLINK("https://compensar-smartit.onbmc.com/smartit/app/#/workorder/IDGGSWY0I24JCAT8MWI1T8MWI13LJF","WO0000000311264")</f>
        <v>WO0000000311264</v>
      </c>
      <c r="C18" s="2" t="inlineStr">
        <is>
          <t>No</t>
        </is>
      </c>
      <c r="D18" s="2" t="inlineStr">
        <is>
          <t>Instalación de CUBIERTA INFERIOR activo P014909 sede CARRERA 69 - WO0000000287464</t>
        </is>
      </c>
      <c r="E18" s="2" t="inlineStr">
        <is>
          <t>En curso</t>
        </is>
      </c>
      <c r="F18" s="2" t="inlineStr">
        <is>
          <t>Saludos	
Apreciado, reciba un cordial saludo, se aprobó por parte del ADMIN de activos el cambio, bodega enviará y gestionará la logística de despacho de la parte solicitada, por favor realizar entrega e instalación de: CUBIERTA INFERIOR En la sede CARRERA 69 MOVIL, equipo HEWLETT PACKARD HP ELITEBOOK 640 G9 Con placa P014909, usuaria/o responsable ADRIANA BAREÑO RODRIGUEZ. En atención al caso WO0000000287464.	
SPT ASIGNADO CESAR ANDRES QUESADA VIQUE
Gracias por su amable atención.	
"Trabajamos para brindarle la mejor experiencia. Si requiere apoyo, comuníquese por:
Tel. (1) 428 0666: caja ext. 13900 Op. 2 / salud ext. 22444 Op. 2
Catálogo: https ://compensar-dwp.onbmc.com/dwp/app/#/catalog
Chatbot LAMIS en el catálogo o en Teams
Gracias por su amable atención.
Cordialmente"</t>
        </is>
      </c>
      <c r="G18" s="2" t="inlineStr">
        <is>
          <t>SERVICIOS DE TECNOLOGIA-ASESORIA/ACOMPANAMIENTO/ACTIVIDADES-EJECUCION DE ACTIVIDADES EN SITIO</t>
        </is>
      </c>
      <c r="H18" s="2" t="inlineStr">
        <is>
          <t>Web</t>
        </is>
      </c>
      <c r="I18" s="2" t="inlineStr">
        <is>
          <t>Baja</t>
        </is>
      </c>
      <c r="J18" s="5">
        <v>46226.43541666667</v>
      </c>
      <c r="K18" s="2" t="inlineStr">
        <is>
          <t>CESAR ANDRES QUESADA VIQUE</t>
        </is>
      </c>
      <c r="L18" s="2" t="inlineStr">
        <is>
          <t>SPT CABECERA CARRERA 69</t>
        </is>
      </c>
      <c r="M18" s="2" t="inlineStr">
        <is>
          <t>SERVICIOS DE TI</t>
        </is>
      </c>
      <c r="N18" s="2"/>
      <c r="O18" s="2" t="inlineStr">
        <is>
          <t>SALUD</t>
        </is>
      </c>
      <c r="P18" s="2"/>
      <c r="Q18" s="2" t="inlineStr">
        <is>
          <t>IDGGSWY0I24JCAT8MWI1T8MWI13LJF</t>
        </is>
      </c>
      <c r="R18" s="2" t="inlineStr">
        <is>
          <t>a) 0-4</t>
        </is>
      </c>
      <c r="S18" s="4"/>
      <c r="T18" s="2"/>
      <c r="U18" s="2" t="inlineStr">
        <is>
          <t>-</t>
        </is>
      </c>
      <c r="V18" s="2" t="inlineStr">
        <is>
          <t>29/07/2026 10:16</t>
        </is>
      </c>
    </row>
    <row r="19">
      <c r="A19" s="2" t="inlineStr">
        <is>
          <t>🟢</t>
        </is>
      </c>
      <c r="B19" s="3" t="str">
        <f>HYPERLINK("https://compensar-smartit.onbmc.com/smartit/app/#/workorder/IDGGSWY0I24JCAT8NJKDT8NJKDU4NJ","WO0000000311476")</f>
        <v>WO0000000311476</v>
      </c>
      <c r="C19" s="2" t="inlineStr">
        <is>
          <t>No</t>
        </is>
      </c>
      <c r="D19" s="2" t="inlineStr">
        <is>
          <t>Envio/instalación HP ELITEBOOK 830 G8 activo 515000008385 cambio mainboard por garantía</t>
        </is>
      </c>
      <c r="E19" s="2" t="inlineStr">
        <is>
          <t>En curso</t>
        </is>
      </c>
      <c r="F19" s="2" t="inlineStr">
        <is>
          <t>Usuario: Leidy Linares
Informa: El equipo no enciende, la falla ya es reincidente. El usuario ya esta en el área de tecnología e indica que se debe asignar al spt Anderson Rativa
📍 Ubicación: CSDE TECNOLOGIA
Tiempo: 15:15
Impacto: 1
Estimado(a) Usuario(a): LEIDY LINARES FIGUEREDO
Le informamos que su caso fue escalado al equipo especializado en contratos de Hewlett-Packard con el número de seguimiento WO0000000305312. Tras la revisión correspondiente, el área encargada ha validado la información y nos ha proporcionado la siguiente respuesta:
“
Buen día,
Estimado usuario,
Lo contacto de Soporte S.A, Centro Autorizado de Servicios de HP, en referencia al caso 5162174674, para el equipo con serial 5CG2270QC1. Dado que hemos recibido confirmación por parte de nuestro técnico de que el equipo ha sido reparado, damos por cerrado el evento. Sin embargo, si presenta algún inconveniente con su máquina dentro de los próximos 15 días del servicio, por favor ponerse en contacto a través de la línea WhatsApp 3004750277 o al correo coordinador.garantias@soporte.com.co.
Se revisa equipo, maquina no enciende, se realizan pruebas con el adaptador original del equipo, validando con anterioridad su funcionamiento, pero el equipo sigue sin encender y no genera led indicativo de carga en DC-IN, se desensambla el equipo, se validan conexiones y se realiza un drenado de energía para verificar que la anomalía que se está presentado no se a causada por cargas de estática, pero esto no da solución a la falla, se realizan pruebas en configuración mínima para descartar fallas en componentes internos del equipo que se encuentran conectados a la Placa Base (Board), pero la falla persiste, se procede a realizar CMOS reset para descartar fallos en botón Power, pero el equipo sigue sin encender, se procede a revisar equipo detalladamente en donde no se encuentra ninguna anomalía como daño provocado por derrame de líquidos o alguna mala manipulación, las pruebas indican daño en Placa Base (Board), se realiza cambio de esta, equipo enciende, se realizan pruebas sin presentar fallas, se ensambla nuevamente el equipo, se realiza test UEFI de sistema y componentes en donde no genera ningún ID de falla, se inicia equipo en Sistema Operativo este no presenta ninguna falla adicional, se valida el correcto funcionamiento del equipo con usuario.”
En el transcurso de la semana el funcionario de tecnológia le estará contactando para coordinar la entrega del activo con la solicitud WO0000000311476.</t>
        </is>
      </c>
      <c r="G19" s="2" t="inlineStr">
        <is>
          <t>SERVICIOS DE TECNOLOGIA-ACTIVOS FIJOS TECNOLOGIA-ADQUISICION PARTES SIN GARANTIA</t>
        </is>
      </c>
      <c r="H19" s="2" t="inlineStr">
        <is>
          <t>Web</t>
        </is>
      </c>
      <c r="I19" s="2" t="inlineStr">
        <is>
          <t>Baja</t>
        </is>
      </c>
      <c r="J19" s="5">
        <v>46226.64166666667</v>
      </c>
      <c r="K19" s="2" t="inlineStr">
        <is>
          <t>ANDERSON JULIAN RATIVA RAMIREZ</t>
        </is>
      </c>
      <c r="L19" s="2" t="inlineStr">
        <is>
          <t>ZONA CENTRO</t>
        </is>
      </c>
      <c r="M19" s="2" t="inlineStr">
        <is>
          <t>SERVICIOS DE TI</t>
        </is>
      </c>
      <c r="N19" s="2"/>
      <c r="O19" s="2" t="inlineStr">
        <is>
          <t>BIENESTAR Y DESARROLLO SOCIAL</t>
        </is>
      </c>
      <c r="P19" s="2"/>
      <c r="Q19" s="2" t="inlineStr">
        <is>
          <t>IDGGSWY0I24JCAT8NJKDT8NJKDU4NJ</t>
        </is>
      </c>
      <c r="R19" s="2" t="inlineStr">
        <is>
          <t>a) 0-4</t>
        </is>
      </c>
      <c r="S19" s="4"/>
      <c r="T19" s="2"/>
      <c r="U19" s="2" t="inlineStr">
        <is>
          <t>-</t>
        </is>
      </c>
      <c r="V19" s="2" t="inlineStr">
        <is>
          <t>26/08/2026 15:57</t>
        </is>
      </c>
    </row>
    <row r="20">
      <c r="A20" s="2" t="inlineStr">
        <is>
          <t>🟢</t>
        </is>
      </c>
      <c r="B20" s="3" t="str">
        <f>HYPERLINK("https://compensar-smartit.onbmc.com/smartit/app/#/workorder/AGGIBMZTENYZ6AT8N4GKT8N4GK4SQ7","WO0000000311566")</f>
        <v>WO0000000311566</v>
      </c>
      <c r="C20" s="2" t="inlineStr">
        <is>
          <t>No</t>
        </is>
      </c>
      <c r="D20" s="2" t="inlineStr">
        <is>
          <t>BF: Aplicación de Usuario Final</t>
        </is>
      </c>
      <c r="E20" s="2" t="inlineStr">
        <is>
          <t>En curso</t>
        </is>
      </c>
      <c r="F20" s="2" t="inlineStr">
        <is>
          <t>Ubicación para atención del Servicio: BLOQUE F TORRE F PISO 2 MERCADEO
Número de contacto para la atención del servicio: 3004819609
Frente: BIENESTAR Y DESARROLLO SOCIAL
Titulo: instalación de Zeus
Descripción: instalación de Zeus para la señorita Laura Valentina Martínez Martínez,  su número de contacto es: 3150447117, su correo es:LVMARTINEZM@compensar.com
Tipo de Servicio: INSTALAR DESINSTALAR APLICACION
Aplicación: SWEX36-ZEUS
</t>
        </is>
      </c>
      <c r="G20" s="2" t="inlineStr">
        <is>
          <t>SERVICIOS DE TECNOLOGIA-GESTION DE APLICACIONES-INSTALAR DESINSTALAR APLICACION</t>
        </is>
      </c>
      <c r="H20" s="2" t="inlineStr">
        <is>
          <t>Web</t>
        </is>
      </c>
      <c r="I20" s="2" t="inlineStr">
        <is>
          <t>Baja</t>
        </is>
      </c>
      <c r="J20" s="5">
        <v>46226.70416666667</v>
      </c>
      <c r="K20" s="2" t="inlineStr">
        <is>
          <t>KEVIN ALEXIS GARCIA GUARACA</t>
        </is>
      </c>
      <c r="L20" s="2" t="inlineStr">
        <is>
          <t>ZONA CENTRO</t>
        </is>
      </c>
      <c r="M20" s="2" t="inlineStr">
        <is>
          <t>SERVICIOS DE TI</t>
        </is>
      </c>
      <c r="N20" s="2"/>
      <c r="O20" s="2" t="inlineStr">
        <is>
          <t>BIENESTAR Y DESARROLLO SOCIAL</t>
        </is>
      </c>
      <c r="P20" s="2"/>
      <c r="Q20" s="2" t="inlineStr">
        <is>
          <t>AGGIBMZTENYZ6AT8N4GKT8N4GK4SQ7</t>
        </is>
      </c>
      <c r="R20" s="2" t="inlineStr">
        <is>
          <t>a) 0-4</t>
        </is>
      </c>
      <c r="S20" s="4"/>
      <c r="T20" s="2" t="inlineStr">
        <is>
          <t>CAJA DE COMPENSACION</t>
        </is>
      </c>
      <c r="U20" s="2" t="inlineStr">
        <is>
          <t>-</t>
        </is>
      </c>
      <c r="V20" s="2" t="inlineStr">
        <is>
          <t>31/07/2026 09:43</t>
        </is>
      </c>
    </row>
    <row r="21">
      <c r="A21" s="2" t="inlineStr">
        <is>
          <t>🟢</t>
        </is>
      </c>
      <c r="B21" s="3" t="str">
        <f>HYPERLINK("https://compensar-smartit.onbmc.com/smartit/app/#/workorder/IDGIBMZTENYZ6AT8N48WT8N48W5H0M","WO0000000311569")</f>
        <v>WO0000000311569</v>
      </c>
      <c r="C21" s="2" t="inlineStr">
        <is>
          <t>No</t>
        </is>
      </c>
      <c r="D21" s="2" t="inlineStr">
        <is>
          <t>el computador no está conectando a internet</t>
        </is>
      </c>
      <c r="E21" s="2" t="inlineStr">
        <is>
          <t>En curso</t>
        </is>
      </c>
      <c r="F21" s="2" t="inlineStr">
        <is>
          <t>Usuario:Cristian David Trujillo Perez 
Informa: El usuario   se comunica indicando que presenta falla novedad con el equipo se encuentra sin red
Ubicación:Sede CUR piso 2
Tiempo:12:57 p. m. 23/07/2026
Impacto: Usuarios afectados:1</t>
        </is>
      </c>
      <c r="G21" s="2" t="inlineStr">
        <is>
          <t>SERVICIOS DE TECNOLOGIA-ACTIVOS FIJOS TECNOLOGIA-ADQUISICION PARTES SIN GARANTIA</t>
        </is>
      </c>
      <c r="H21" s="2" t="inlineStr">
        <is>
          <t>Web</t>
        </is>
      </c>
      <c r="I21" s="2" t="inlineStr">
        <is>
          <t>Baja</t>
        </is>
      </c>
      <c r="J21" s="5">
        <v>46226.71319444444</v>
      </c>
      <c r="K21" s="2" t="inlineStr">
        <is>
          <t>KEVIN ALEXIS GARCIA GUARACA</t>
        </is>
      </c>
      <c r="L21" s="2" t="inlineStr">
        <is>
          <t>ZONA CENTRO</t>
        </is>
      </c>
      <c r="M21" s="2" t="inlineStr">
        <is>
          <t>SERVICIOS DE TI</t>
        </is>
      </c>
      <c r="N21" s="2"/>
      <c r="O21" s="2" t="inlineStr">
        <is>
          <t>BIENESTAR Y DESARROLLO SOCIAL</t>
        </is>
      </c>
      <c r="P21" s="2"/>
      <c r="Q21" s="2" t="inlineStr">
        <is>
          <t>IDGIBMZTENYZ6AT8N48WT8N48W5H0M</t>
        </is>
      </c>
      <c r="R21" s="2" t="inlineStr">
        <is>
          <t>a) 0-4</t>
        </is>
      </c>
      <c r="S21" s="4"/>
      <c r="T21" s="2"/>
      <c r="U21" s="2" t="inlineStr">
        <is>
          <t>-</t>
        </is>
      </c>
      <c r="V21" s="2" t="inlineStr">
        <is>
          <t>25/08/2026 12:32</t>
        </is>
      </c>
    </row>
    <row r="22">
      <c r="A22" s="2" t="inlineStr">
        <is>
          <t>🟢</t>
        </is>
      </c>
      <c r="B22" s="3" t="str">
        <f>HYPERLINK("https://compensar-smartit.onbmc.com/smartit/app/#/workorder/AGGGSWY0I24JCAT8N24KT8N24KZKXO","WO0000000311612")</f>
        <v>WO0000000311612</v>
      </c>
      <c r="C22" s="2" t="inlineStr">
        <is>
          <t>No</t>
        </is>
      </c>
      <c r="D22" s="2" t="inlineStr">
        <is>
          <t>BF Aplicación de Usuario Final</t>
        </is>
      </c>
      <c r="E22" s="2" t="inlineStr">
        <is>
          <t>Asignado</t>
        </is>
      </c>
      <c r="F22" s="2" t="inlineStr">
        <is>
          <t>Ubicación para atención del Servicio: BLOQUE F TORRE F PISO 2 MERCADEO
Número de contacto para la atención del servicio: 3004819609
Frente: BIENESTAR Y DESARROLLO SOCIAL
Titulo: instalación de Zeus
Descripción: instalación de Zeus para la señorita Gloria Yazmin Bernal Ibarra, su contacto es: 3133779332, su correo es el siguiente: GYBERNALIB@compensar.com
Tipo de Servicio: INSTALAR DESINSTALAR APLICACION
Aplicación: SWEX36-ZEUS
</t>
        </is>
      </c>
      <c r="G22" s="2" t="inlineStr">
        <is>
          <t>SERVICIOS DE TECNOLOGIA-GESTION DE APLICACIONES-INSTALAR DESINSTALAR APLICACION</t>
        </is>
      </c>
      <c r="H22" s="2" t="inlineStr">
        <is>
          <t>Web</t>
        </is>
      </c>
      <c r="I22" s="2" t="inlineStr">
        <is>
          <t>Baja</t>
        </is>
      </c>
      <c r="J22" s="5">
        <v>46226.677083333336</v>
      </c>
      <c r="K22" s="2" t="inlineStr">
        <is>
          <t>KEVIN ALEXIS GARCIA GUARACA</t>
        </is>
      </c>
      <c r="L22" s="2" t="inlineStr">
        <is>
          <t>ZONA CENTRO</t>
        </is>
      </c>
      <c r="M22" s="2" t="inlineStr">
        <is>
          <t>SERVICIOS DE TI</t>
        </is>
      </c>
      <c r="N22" s="2"/>
      <c r="O22" s="2" t="inlineStr">
        <is>
          <t>BIENESTAR Y DESARROLLO SOCIAL</t>
        </is>
      </c>
      <c r="P22" s="2"/>
      <c r="Q22" s="2" t="inlineStr">
        <is>
          <t>AGGGSWY0I24JCAT8N24KT8N24KZKXO</t>
        </is>
      </c>
      <c r="R22" s="2" t="inlineStr">
        <is>
          <t>a) 0-4</t>
        </is>
      </c>
      <c r="S22" s="4"/>
      <c r="T22" s="2" t="inlineStr">
        <is>
          <t>CAJA DE COMPENSACION</t>
        </is>
      </c>
      <c r="U22" s="2" t="inlineStr">
        <is>
          <t>-</t>
        </is>
      </c>
      <c r="V22" s="2" t="inlineStr">
        <is>
          <t>28/07/2026 16:15</t>
        </is>
      </c>
    </row>
    <row r="23">
      <c r="A23" s="2" t="inlineStr">
        <is>
          <t>🟢</t>
        </is>
      </c>
      <c r="B23" s="3" t="str">
        <f>HYPERLINK("https://compensar-smartit.onbmc.com/smartit/app/#/workorder/AGGGSWY0I24JCAT8N2YBT8N2YBALBE","WO0000000311616")</f>
        <v>WO0000000311616</v>
      </c>
      <c r="C23" s="2" t="inlineStr">
        <is>
          <t>No</t>
        </is>
      </c>
      <c r="D23" s="2" t="inlineStr">
        <is>
          <t>BF Aplicación de Usuario Final</t>
        </is>
      </c>
      <c r="E23" s="2" t="inlineStr">
        <is>
          <t>Asignado</t>
        </is>
      </c>
      <c r="F23" s="2" t="inlineStr">
        <is>
          <t>Ubicación para atención del Servicio: BLOQUE F TORRE F PISO 2 MERCADEO
Número de contacto para la atención del servicio: 3004819609
Frente: BIENESTAR Y DESARROLLO SOCIAL
Titulo: instalación de Zeus
Descripción: instalación de Zeus para la señorita Hasbleidy Nayibe Ramírez Cetina, su número de contacto es: 3229342140, su correo es:HNRAMIREZC@compensar.com
Tipo de Servicio: INSTALAR DESINSTALAR APLICACION
Aplicación: SWEX36-ZEUS
</t>
        </is>
      </c>
      <c r="G23" s="2" t="inlineStr">
        <is>
          <t>SERVICIOS DE TECNOLOGIA-GESTION DE APLICACIONES-INSTALAR DESINSTALAR APLICACION</t>
        </is>
      </c>
      <c r="H23" s="2" t="inlineStr">
        <is>
          <t>Web</t>
        </is>
      </c>
      <c r="I23" s="2" t="inlineStr">
        <is>
          <t>Baja</t>
        </is>
      </c>
      <c r="J23" s="5">
        <v>46226.68541666667</v>
      </c>
      <c r="K23" s="2" t="inlineStr">
        <is>
          <t>KEVIN ALEXIS GARCIA GUARACA</t>
        </is>
      </c>
      <c r="L23" s="2" t="inlineStr">
        <is>
          <t>ZONA CENTRO</t>
        </is>
      </c>
      <c r="M23" s="2" t="inlineStr">
        <is>
          <t>SERVICIOS DE TI</t>
        </is>
      </c>
      <c r="N23" s="2"/>
      <c r="O23" s="2" t="inlineStr">
        <is>
          <t>BIENESTAR Y DESARROLLO SOCIAL</t>
        </is>
      </c>
      <c r="P23" s="2"/>
      <c r="Q23" s="2" t="inlineStr">
        <is>
          <t>AGGGSWY0I24JCAT8N2YBT8N2YBALBE</t>
        </is>
      </c>
      <c r="R23" s="2" t="inlineStr">
        <is>
          <t>a) 0-4</t>
        </is>
      </c>
      <c r="S23" s="4"/>
      <c r="T23" s="2" t="inlineStr">
        <is>
          <t>CAJA DE COMPENSACION</t>
        </is>
      </c>
      <c r="U23" s="2" t="inlineStr">
        <is>
          <t>-</t>
        </is>
      </c>
      <c r="V23" s="2" t="inlineStr">
        <is>
          <t>28/07/2026 16:27</t>
        </is>
      </c>
    </row>
    <row r="24">
      <c r="A24" s="2" t="inlineStr">
        <is>
          <t>🟢</t>
        </is>
      </c>
      <c r="B24" s="3" t="str">
        <f>HYPERLINK("https://compensar-smartit.onbmc.com/smartit/app/#/workorder/IDGGSWY0I24JCAT8N4CMT8N4CMC8XE","WO0000000311622")</f>
        <v>WO0000000311622</v>
      </c>
      <c r="C24" s="2" t="inlineStr">
        <is>
          <t>No</t>
        </is>
      </c>
      <c r="D24" s="2" t="inlineStr">
        <is>
          <t>Configuración impresora RICOH</t>
        </is>
      </c>
      <c r="E24" s="2" t="inlineStr">
        <is>
          <t>En curso</t>
        </is>
      </c>
      <c r="F24" s="2" t="inlineStr">
        <is>
          <t>Usuario: CC 52260868 EXTINS ALCIRA OTTY PUENTES TORRES.
Informa: Configuración primera vez impresora RICOH serial: 5161z610673.
Ubicación: Clínica del bosque piso 11 consultorio  603.
Tiempo: 4:49 p. m. 23/07/2026.
Impacto: RICOH.
Evidencias: NA.</t>
        </is>
      </c>
      <c r="G24" s="2" t="inlineStr">
        <is>
          <t>SERVICIOS DE TECNOLOGIA-SERVICIOS DE IMPRESION/ESCANER-CONFIGURACION DE IMPRESORA/ESCANER</t>
        </is>
      </c>
      <c r="H24" s="2" t="inlineStr">
        <is>
          <t>Telefono</t>
        </is>
      </c>
      <c r="I24" s="2" t="inlineStr">
        <is>
          <t>Baja</t>
        </is>
      </c>
      <c r="J24" s="5">
        <v>46226.711805555555</v>
      </c>
      <c r="K24" s="2" t="inlineStr">
        <is>
          <t>EDWIN ALEXIS PATIÑO TEJEDOR</t>
        </is>
      </c>
      <c r="L24" s="2" t="inlineStr">
        <is>
          <t>SPT ZONA NORTE</t>
        </is>
      </c>
      <c r="M24" s="2" t="inlineStr">
        <is>
          <t>SERVICIOS DE TI</t>
        </is>
      </c>
      <c r="N24" s="2" t="inlineStr">
        <is>
          <t>IMPRESION</t>
        </is>
      </c>
      <c r="O24" s="2" t="inlineStr">
        <is>
          <t>SALUD</t>
        </is>
      </c>
      <c r="P24" s="2"/>
      <c r="Q24" s="2" t="inlineStr">
        <is>
          <t>IDGGSWY0I24JCAT8N4CMT8N4CMC8XE</t>
        </is>
      </c>
      <c r="R24" s="2" t="inlineStr">
        <is>
          <t>a) 0-4</t>
        </is>
      </c>
      <c r="S24" s="4"/>
      <c r="T24" s="2"/>
      <c r="U24" s="2" t="inlineStr">
        <is>
          <t>-</t>
        </is>
      </c>
      <c r="V24" s="2" t="inlineStr">
        <is>
          <t>29/07/2026 11:24</t>
        </is>
      </c>
    </row>
    <row r="25">
      <c r="A25" s="2" t="inlineStr">
        <is>
          <t>🟢</t>
        </is>
      </c>
      <c r="B25" s="3" t="str">
        <f>HYPERLINK("https://compensar-smartit.onbmc.com/smartit/app/#/workorder/AGGGSWY0I24JCAT8N6FNT8N6FNEJLM","WO0000000311634")</f>
        <v>WO0000000311634</v>
      </c>
      <c r="C25" s="2" t="inlineStr">
        <is>
          <t>No</t>
        </is>
      </c>
      <c r="D25" s="2" t="inlineStr">
        <is>
          <t>Gestión de Identidad - Accesos para un usuario (hasta 6 aplicaciones)</t>
        </is>
      </c>
      <c r="E25" s="2" t="inlineStr">
        <is>
          <t>En curso</t>
        </is>
      </c>
      <c r="F25" s="2" t="inlineStr">
        <is>
          <t>Ubicación para atención del Servicio: BLOQUE F TORRE F PISO 4 GERENCIA DE COMPRAS Y ABASTECIMIENTO
Número de contacto para la atención del servicio: 3178226622
Frente: CENTRO DE SERVICIOS COMPARTIDOS
Titulo: office en escritorio
Tipo de Servicio: MODIFICACION
Proceso: NEGOCIAR Y ADMINISTRAR ADQUISICIÓN DE BI
Cantidad de aplicaciones: 1
Cédula Ciudadania: 1020843605
Nombres Completos: LAURA BELTRAN
Descripción: Buenos días
Solicito su colaboración, a los siguientes colaboradores le hicieron renovación de equipo y no pueden utilizar el office en el escritorio, por lo que solicitamos la instalación:
NUMERO DE PC COMPRADOR CC
CC23734 LAURA BELTRAN 1020843605
CC23666 BRAHIAN LEON 1000577236
Se adjunta solicitud del jefe
Descripción: Excel escritorio
Adjunto: [AGGGSWY0I24JCAT8N6FKT8N6FKEJ94]
</t>
        </is>
      </c>
      <c r="G25" s="2" t="inlineStr">
        <is>
          <t>SERVICIOS DE TECNOLOGIA-GESTION DE IDENTIDAD-MODIFICACION</t>
        </is>
      </c>
      <c r="H25" s="2" t="inlineStr">
        <is>
          <t>Web</t>
        </is>
      </c>
      <c r="I25" s="2" t="inlineStr">
        <is>
          <t>Baja</t>
        </is>
      </c>
      <c r="J25" s="5">
        <v>46226.73333333333</v>
      </c>
      <c r="K25" s="2" t="inlineStr">
        <is>
          <t>DILAN SAMIR LOPEZ ARAUJO</t>
        </is>
      </c>
      <c r="L25" s="2" t="inlineStr">
        <is>
          <t>ZONA CENTRO</t>
        </is>
      </c>
      <c r="M25" s="2" t="inlineStr">
        <is>
          <t>SERVICIOS DE TI</t>
        </is>
      </c>
      <c r="N25" s="2"/>
      <c r="O25" s="2" t="inlineStr">
        <is>
          <t>CENTRO DE SERVICIOS COMPARTIDOS</t>
        </is>
      </c>
      <c r="P25" s="2"/>
      <c r="Q25" s="2" t="inlineStr">
        <is>
          <t>AGGGSWY0I24JCAT8N6FNT8N6FNEJLM</t>
        </is>
      </c>
      <c r="R25" s="2" t="inlineStr">
        <is>
          <t>a) 0-4</t>
        </is>
      </c>
      <c r="S25" s="4"/>
      <c r="T25" s="2" t="inlineStr">
        <is>
          <t>CAJA DE COMPENSACION</t>
        </is>
      </c>
      <c r="U25" s="2" t="inlineStr">
        <is>
          <t>-</t>
        </is>
      </c>
      <c r="V25" s="2" t="inlineStr">
        <is>
          <t>30/07/2026 10:35</t>
        </is>
      </c>
    </row>
    <row r="26">
      <c r="A26" s="2" t="inlineStr">
        <is>
          <t>🟠</t>
        </is>
      </c>
      <c r="B26" s="3" t="str">
        <f>HYPERLINK("https://compensar-smartit.onbmc.com/smartit/app/#/workorder/IDGGSWY0I24JCAT8OLF4T8OLF4MXNZ","WO0000000311677")</f>
        <v>WO0000000311677</v>
      </c>
      <c r="C26" s="2" t="inlineStr">
        <is>
          <t>No</t>
        </is>
      </c>
      <c r="D26" s="2" t="inlineStr">
        <is>
          <t>Instalación de DISCO DURO M.2 activo C014765 sede CARRERA 69 - WO0000000306574</t>
        </is>
      </c>
      <c r="E26" s="2" t="inlineStr">
        <is>
          <t>En curso</t>
        </is>
      </c>
      <c r="F26" s="2" t="inlineStr">
        <is>
          <t>Saludos	
Apreciado, reciba un cordial saludo, se aprobó por parte del ADMIN de activos el cambio, bodega enviará y gestionará la logística de despacho de la parte solicitada, por favor realizar entrega e instalación de: DISCO DURO M.2 En la sede CARRERA 69 TORRE B PISO 4 PUESTO 21, equipo HEWLETT PACKARD HP PRODESK 400 G6 Con placa C014765, usuaria/o responsable LUZ MERY AVILA CASTANEDA. En atención al caso WO0000000306574.	
Gracias por su amable atención.	
"Trabajamos para brindarle la mejor experiencia. Si requiere apoyo, comuníquese por:
Tel. (1) 428 0666: caja ext. 13900 Op. 2 / salud ext. 22444 Op. 2
Catálogo: https ://compensar-dwp.onbmc.com/dwp/app/#/catalog
Chatbot LAMIS en el catálogo o en Teams
Gracias por su amable atención.
Cordialmente"</t>
        </is>
      </c>
      <c r="G26" s="2" t="inlineStr">
        <is>
          <t>SERVICIOS DE TECNOLOGIA-ASESORIA/ACOMPANAMIENTO/ACTIVIDADES-EJECUCION DE ACTIVIDADES EN SITIO</t>
        </is>
      </c>
      <c r="H26" s="2" t="inlineStr">
        <is>
          <t>Web</t>
        </is>
      </c>
      <c r="I26" s="2" t="inlineStr">
        <is>
          <t>Baja</t>
        </is>
      </c>
      <c r="J26" s="5">
        <v>46227.34930555556</v>
      </c>
      <c r="K26" s="2" t="inlineStr">
        <is>
          <t>IVAN FELIPE GARCIA MANRIQUE</t>
        </is>
      </c>
      <c r="L26" s="2" t="inlineStr">
        <is>
          <t>SPT CABECERA CARRERA 69</t>
        </is>
      </c>
      <c r="M26" s="2" t="inlineStr">
        <is>
          <t>SERVICIOS DE TI</t>
        </is>
      </c>
      <c r="N26" s="2"/>
      <c r="O26" s="2" t="inlineStr">
        <is>
          <t>SALUD</t>
        </is>
      </c>
      <c r="P26" s="2"/>
      <c r="Q26" s="2" t="inlineStr">
        <is>
          <t>IDGGSWY0I24JCAT8OLF4T8OLF4MXNZ</t>
        </is>
      </c>
      <c r="R26" s="2" t="inlineStr">
        <is>
          <t>a) 0-4</t>
        </is>
      </c>
      <c r="S26" s="4"/>
      <c r="T26" s="2"/>
      <c r="U26" s="2" t="inlineStr">
        <is>
          <t>-</t>
        </is>
      </c>
      <c r="V26" s="2" t="inlineStr">
        <is>
          <t>29/07/2026 08:23</t>
        </is>
      </c>
    </row>
    <row r="27">
      <c r="A27" s="2" t="inlineStr">
        <is>
          <t>🟠</t>
        </is>
      </c>
      <c r="B27" s="3" t="str">
        <f>HYPERLINK("https://compensar-smartit.onbmc.com/smartit/app/#/workorder/AGGGSWY0I24JCAT8OO0TT8OO0TSDCK","WO0000000311694")</f>
        <v>WO0000000311694</v>
      </c>
      <c r="C27" s="2" t="inlineStr">
        <is>
          <t>No</t>
        </is>
      </c>
      <c r="D27" s="2" t="inlineStr">
        <is>
          <t>BF Aplicación de Usuario Final</t>
        </is>
      </c>
      <c r="E27" s="2" t="inlineStr">
        <is>
          <t>Asignado</t>
        </is>
      </c>
      <c r="F27" s="2" t="inlineStr">
        <is>
          <t>Ubicación para atención del Servicio: BLOQUE F TORRE F PISO 2 MERCADEO
Número de contacto para la atención del servicio: 3107594334
Frente: BIENESTAR Y DESARROLLO SOCIAL
Titulo: INSTALACIÓN DE ZEUS
Descripción: INSTALACIÓN DE ZEUS PARA EL USUARIO
WILLIAM ALEJANDRO PARADA NAVAS
3107594334
WAPARADAN@compensar.com
Tipo de Servicio: INSTALAR DESINSTALAR APLICACION
Aplicación: SWEX36-ZEUS
</t>
        </is>
      </c>
      <c r="G27" s="2" t="inlineStr">
        <is>
          <t>SERVICIOS DE TECNOLOGIA-GESTION DE APLICACIONES-INSTALAR DESINSTALAR APLICACION</t>
        </is>
      </c>
      <c r="H27" s="2" t="inlineStr">
        <is>
          <t>Web</t>
        </is>
      </c>
      <c r="I27" s="2" t="inlineStr">
        <is>
          <t>Baja</t>
        </is>
      </c>
      <c r="J27" s="5">
        <v>46227.395833333336</v>
      </c>
      <c r="K27" s="2" t="inlineStr">
        <is>
          <t>KEVIN ALEXIS GARCIA GUARACA</t>
        </is>
      </c>
      <c r="L27" s="2" t="inlineStr">
        <is>
          <t>ZONA CENTRO</t>
        </is>
      </c>
      <c r="M27" s="2" t="inlineStr">
        <is>
          <t>SERVICIOS DE TI</t>
        </is>
      </c>
      <c r="N27" s="2"/>
      <c r="O27" s="2" t="inlineStr">
        <is>
          <t>BIENESTAR Y DESARROLLO SOCIAL</t>
        </is>
      </c>
      <c r="P27" s="2"/>
      <c r="Q27" s="2" t="inlineStr">
        <is>
          <t>AGGGSWY0I24JCAT8OO0TT8OO0TSDCK</t>
        </is>
      </c>
      <c r="R27" s="2" t="inlineStr">
        <is>
          <t>a) 0-4</t>
        </is>
      </c>
      <c r="S27" s="4"/>
      <c r="T27" s="2" t="inlineStr">
        <is>
          <t>CAJA DE COMPENSACION</t>
        </is>
      </c>
      <c r="U27" s="2" t="inlineStr">
        <is>
          <t>-</t>
        </is>
      </c>
      <c r="V27" s="2" t="inlineStr">
        <is>
          <t>29/07/2026 09:33</t>
        </is>
      </c>
    </row>
    <row r="28">
      <c r="A28" s="2" t="inlineStr">
        <is>
          <t>🟠</t>
        </is>
      </c>
      <c r="B28" s="3" t="str">
        <f>HYPERLINK("https://compensar-smartit.onbmc.com/smartit/app/#/workorder/AGGGSWY0I24JCAT8OONKT8OONKSL1S","WO0000000311700")</f>
        <v>WO0000000311700</v>
      </c>
      <c r="C28" s="2" t="inlineStr">
        <is>
          <t>No</t>
        </is>
      </c>
      <c r="D28" s="2" t="inlineStr">
        <is>
          <t>BF Aplicación de Usuario Final</t>
        </is>
      </c>
      <c r="E28" s="2" t="inlineStr">
        <is>
          <t>Asignado</t>
        </is>
      </c>
      <c r="F28" s="2" t="inlineStr">
        <is>
          <t>Ubicación para atención del Servicio: BLOQUE F TORRE F PISO 2 MERCADEO
Número de contacto para la atención del servicio: 3145173030
Frente: BIENESTAR Y DESARROLLO SOCIAL
Titulo: INSTALACIÓN DE ZEUS
Descripción: INSTALACIÓN DE ZEUS PARA LA USUARIA
YUDI LORENA FALLA CANO
3145173030
YLFALLAC@compensar.com
Tipo de Servicio: INSTALAR DESINSTALAR APLICACION
Aplicación: SWEX36-ZEUS
</t>
        </is>
      </c>
      <c r="G28" s="2" t="inlineStr">
        <is>
          <t>SERVICIOS DE TECNOLOGIA-GESTION DE APLICACIONES-INSTALAR DESINSTALAR APLICACION</t>
        </is>
      </c>
      <c r="H28" s="2" t="inlineStr">
        <is>
          <t>Web</t>
        </is>
      </c>
      <c r="I28" s="2" t="inlineStr">
        <is>
          <t>Baja</t>
        </is>
      </c>
      <c r="J28" s="5">
        <v>46227.40138888889</v>
      </c>
      <c r="K28" s="2" t="inlineStr">
        <is>
          <t>KEVIN ALEXIS GARCIA GUARACA</t>
        </is>
      </c>
      <c r="L28" s="2" t="inlineStr">
        <is>
          <t>ZONA CENTRO</t>
        </is>
      </c>
      <c r="M28" s="2" t="inlineStr">
        <is>
          <t>SERVICIOS DE TI</t>
        </is>
      </c>
      <c r="N28" s="2"/>
      <c r="O28" s="2" t="inlineStr">
        <is>
          <t>BIENESTAR Y DESARROLLO SOCIAL</t>
        </is>
      </c>
      <c r="P28" s="2"/>
      <c r="Q28" s="2" t="inlineStr">
        <is>
          <t>AGGGSWY0I24JCAT8OONKT8OONKSL1S</t>
        </is>
      </c>
      <c r="R28" s="2" t="inlineStr">
        <is>
          <t>a) 0-4</t>
        </is>
      </c>
      <c r="S28" s="4"/>
      <c r="T28" s="2" t="inlineStr">
        <is>
          <t>CAJA DE COMPENSACION</t>
        </is>
      </c>
      <c r="U28" s="2" t="inlineStr">
        <is>
          <t>-</t>
        </is>
      </c>
      <c r="V28" s="2" t="inlineStr">
        <is>
          <t>29/07/2026 09:39</t>
        </is>
      </c>
    </row>
    <row r="29">
      <c r="A29" s="2" t="inlineStr">
        <is>
          <t>🟠</t>
        </is>
      </c>
      <c r="B29" s="3" t="str">
        <f>HYPERLINK("https://compensar-smartit.onbmc.com/smartit/app/#/workorder/AGGIBMZTENYZ6AT8OMKBT8OMKBB0BP","WO0000000311759")</f>
        <v>WO0000000311759</v>
      </c>
      <c r="C29" s="2" t="inlineStr">
        <is>
          <t>No</t>
        </is>
      </c>
      <c r="D29" s="2" t="inlineStr">
        <is>
          <t>BF: Aplicación de Usuario Final</t>
        </is>
      </c>
      <c r="E29" s="2" t="inlineStr">
        <is>
          <t>En curso</t>
        </is>
      </c>
      <c r="F29" s="2" t="inlineStr">
        <is>
          <t>Ubicación para atención del Servicio: BLOQUE F TORRE F PISO 2 MERCADEO
Número de contacto para la atención del servicio: 3165472882
Frente: BIENESTAR Y DESARROLLO SOCIAL
Titulo: INSTALACIÓN DE ZEUS.
Descripción: INSTALACIÓN APLICATIVO ZEUS PARA LA SIGUIENTE USUARIA: 
LLINDRY LORENA MORENO TORRES
3165472882
LLMORENOT@compensar.com
Tipo de Servicio: INSTALAR DESINSTALAR APLICACION
Aplicación: SWEX36-ZEUS
</t>
        </is>
      </c>
      <c r="G29" s="2" t="inlineStr">
        <is>
          <t>SERVICIOS DE TECNOLOGIA-GESTION DE APLICACIONES-INSTALAR DESINSTALAR APLICACION</t>
        </is>
      </c>
      <c r="H29" s="2" t="inlineStr">
        <is>
          <t>Web</t>
        </is>
      </c>
      <c r="I29" s="2" t="inlineStr">
        <is>
          <t>Baja</t>
        </is>
      </c>
      <c r="J29" s="5">
        <v>46227.36944444444</v>
      </c>
      <c r="K29" s="2" t="inlineStr">
        <is>
          <t>KEVIN ALEXIS GARCIA GUARACA</t>
        </is>
      </c>
      <c r="L29" s="2" t="inlineStr">
        <is>
          <t>ZONA CENTRO</t>
        </is>
      </c>
      <c r="M29" s="2" t="inlineStr">
        <is>
          <t>SERVICIOS DE TI</t>
        </is>
      </c>
      <c r="N29" s="2"/>
      <c r="O29" s="2" t="inlineStr">
        <is>
          <t>BIENESTAR Y DESARROLLO SOCIAL</t>
        </is>
      </c>
      <c r="P29" s="2"/>
      <c r="Q29" s="2" t="inlineStr">
        <is>
          <t>AGGIBMZTENYZ6AT8OMKBT8OMKBB0BP</t>
        </is>
      </c>
      <c r="R29" s="2" t="inlineStr">
        <is>
          <t>a) 0-4</t>
        </is>
      </c>
      <c r="S29" s="4"/>
      <c r="T29" s="2" t="inlineStr">
        <is>
          <t>CAJA DE COMPENSACION</t>
        </is>
      </c>
      <c r="U29" s="2" t="inlineStr">
        <is>
          <t>-</t>
        </is>
      </c>
      <c r="V29" s="2" t="inlineStr">
        <is>
          <t>29/07/2026 08:54</t>
        </is>
      </c>
    </row>
    <row r="30">
      <c r="A30" s="2" t="inlineStr">
        <is>
          <t>🟠</t>
        </is>
      </c>
      <c r="B30" s="3" t="str">
        <f>HYPERLINK("https://compensar-smartit.onbmc.com/smartit/app/#/workorder/AGGIBMZTENYZ6AT8ON2ET8ON2ECHYW","WO0000000311767")</f>
        <v>WO0000000311767</v>
      </c>
      <c r="C30" s="2" t="inlineStr">
        <is>
          <t>No</t>
        </is>
      </c>
      <c r="D30" s="2" t="inlineStr">
        <is>
          <t>BF: Aplicación de Usuario Final</t>
        </is>
      </c>
      <c r="E30" s="2" t="inlineStr">
        <is>
          <t>Asignado</t>
        </is>
      </c>
      <c r="F30" s="2" t="inlineStr">
        <is>
          <t>Ubicación para atención del Servicio: BLOQUE F TORRE F PISO 2 MERCADEO
Número de contacto para la atención del servicio: 3213264237
Frente: BIENESTAR Y DESARROLLO SOCIAL
Titulo: INSTALACIÓN DE ZEUS.
Descripción: INSTALACIÓN DE ZEUS PARA USUARIA
MARISOL VIRGUEZ
3213264237
MVIRGUEZ@compensar.com
Tipo de Servicio: INSTALAR DESINSTALAR APLICACION
Aplicación: SWEX36-ZEUS
</t>
        </is>
      </c>
      <c r="G30" s="2" t="inlineStr">
        <is>
          <t>SERVICIOS DE TECNOLOGIA-GESTION DE APLICACIONES-INSTALAR DESINSTALAR APLICACION</t>
        </is>
      </c>
      <c r="H30" s="2" t="inlineStr">
        <is>
          <t>Web</t>
        </is>
      </c>
      <c r="I30" s="2" t="inlineStr">
        <is>
          <t>Baja</t>
        </is>
      </c>
      <c r="J30" s="5">
        <v>46227.38125</v>
      </c>
      <c r="K30" s="2" t="inlineStr">
        <is>
          <t>KEVIN ALEXIS GARCIA GUARACA</t>
        </is>
      </c>
      <c r="L30" s="2" t="inlineStr">
        <is>
          <t>ZONA CENTRO</t>
        </is>
      </c>
      <c r="M30" s="2" t="inlineStr">
        <is>
          <t>SERVICIOS DE TI</t>
        </is>
      </c>
      <c r="N30" s="2"/>
      <c r="O30" s="2" t="inlineStr">
        <is>
          <t>BIENESTAR Y DESARROLLO SOCIAL</t>
        </is>
      </c>
      <c r="P30" s="2"/>
      <c r="Q30" s="2" t="inlineStr">
        <is>
          <t>AGGIBMZTENYZ6AT8ON2ET8ON2ECHYW</t>
        </is>
      </c>
      <c r="R30" s="2" t="inlineStr">
        <is>
          <t>a) 0-4</t>
        </is>
      </c>
      <c r="S30" s="4"/>
      <c r="T30" s="2" t="inlineStr">
        <is>
          <t>CAJA DE COMPENSACION</t>
        </is>
      </c>
      <c r="U30" s="2" t="inlineStr">
        <is>
          <t>-</t>
        </is>
      </c>
      <c r="V30" s="2" t="inlineStr">
        <is>
          <t>29/07/2026 09:11</t>
        </is>
      </c>
    </row>
    <row r="31">
      <c r="A31" s="2" t="inlineStr">
        <is>
          <t>🟠</t>
        </is>
      </c>
      <c r="B31" s="3" t="str">
        <f>HYPERLINK("https://compensar-smartit.onbmc.com/smartit/app/#/workorder/AGGIBMZTENYZ6AT8ONMAT8ONMACMC5","WO0000000311774")</f>
        <v>WO0000000311774</v>
      </c>
      <c r="C31" s="2" t="inlineStr">
        <is>
          <t>No</t>
        </is>
      </c>
      <c r="D31" s="2" t="inlineStr">
        <is>
          <t>BF Aplicación de Usuario Final</t>
        </is>
      </c>
      <c r="E31" s="2" t="inlineStr">
        <is>
          <t>En curso</t>
        </is>
      </c>
      <c r="F31" s="2" t="inlineStr">
        <is>
          <t>Ubicación para atención del Servicio: BLOQUE F TORRE F PISO 2 MERCADEO
Número de contacto para la atención del servicio: 3202373500
Frente: BIENESTAR Y DESARROLLO SOCIAL
Titulo: INSTALACIÓN DE ZEUS.
Descripción: INSTALACIÓN DE ZEUS PARA LA USUARIA
SINDY LORENA DIAZ CABIATIVA
3202373500
SLDIAZC@compensar.com
Tipo de Servicio: INSTALAR DESINSTALAR APLICACION
Aplicación: SWEX36-ZEUS
</t>
        </is>
      </c>
      <c r="G31" s="2" t="inlineStr">
        <is>
          <t>SERVICIOS DE TECNOLOGIA-GESTION DE APLICACIONES-INSTALAR DESINSTALAR APLICACION</t>
        </is>
      </c>
      <c r="H31" s="2" t="inlineStr">
        <is>
          <t>Web</t>
        </is>
      </c>
      <c r="I31" s="2" t="inlineStr">
        <is>
          <t>Baja</t>
        </is>
      </c>
      <c r="J31" s="5">
        <v>46227.385416666664</v>
      </c>
      <c r="K31" s="2" t="inlineStr">
        <is>
          <t>KEVIN ALEXIS GARCIA GUARACA</t>
        </is>
      </c>
      <c r="L31" s="2" t="inlineStr">
        <is>
          <t>ZONA CENTRO</t>
        </is>
      </c>
      <c r="M31" s="2" t="inlineStr">
        <is>
          <t>SERVICIOS DE TI</t>
        </is>
      </c>
      <c r="N31" s="2"/>
      <c r="O31" s="2" t="inlineStr">
        <is>
          <t>BIENESTAR Y DESARROLLO SOCIAL</t>
        </is>
      </c>
      <c r="P31" s="2"/>
      <c r="Q31" s="2" t="inlineStr">
        <is>
          <t>AGGIBMZTENYZ6AT8ONMAT8ONMACMC5</t>
        </is>
      </c>
      <c r="R31" s="2" t="inlineStr">
        <is>
          <t>a) 0-4</t>
        </is>
      </c>
      <c r="S31" s="4"/>
      <c r="T31" s="2" t="inlineStr">
        <is>
          <t>CAJA DE COMPENSACION</t>
        </is>
      </c>
      <c r="U31" s="2" t="inlineStr">
        <is>
          <t>-</t>
        </is>
      </c>
      <c r="V31" s="2" t="inlineStr">
        <is>
          <t>29/07/2026 09:18</t>
        </is>
      </c>
    </row>
    <row r="32">
      <c r="A32" s="2" t="inlineStr">
        <is>
          <t>🟠</t>
        </is>
      </c>
      <c r="B32" s="3" t="str">
        <f>HYPERLINK("https://compensar-smartit.onbmc.com/smartit/app/#/workorder/AGGIBMZTENYZ6AT8ONXMT8ONXMDBOG","WO0000000311776")</f>
        <v>WO0000000311776</v>
      </c>
      <c r="C32" s="2" t="inlineStr">
        <is>
          <t>No</t>
        </is>
      </c>
      <c r="D32" s="2" t="inlineStr">
        <is>
          <t>BF Aplicación de Usuario Final</t>
        </is>
      </c>
      <c r="E32" s="2" t="inlineStr">
        <is>
          <t>Asignado</t>
        </is>
      </c>
      <c r="F32" s="2" t="inlineStr">
        <is>
          <t>Ubicación para atención del Servicio: BLOQUE F TORRE F PISO 2 MERCADEO
Número de contacto para la atención del servicio: 3144063247
Frente: BIENESTAR Y DESARROLLO SOCIAL
Titulo: INSTALACIÓN DE ZEUS.
Descripción: INSTALACIÓN DE ZEUS PARA LA USUARIA
TANIA STEFANNY CASTRO CASTRO
3144063247
TSCASTROC@compensar.com
Tipo de Servicio: INSTALAR DESINSTALAR APLICACION
Aplicación: SWEX36-ZEUS
</t>
        </is>
      </c>
      <c r="G32" s="2" t="inlineStr">
        <is>
          <t>SERVICIOS DE TECNOLOGIA-GESTION DE APLICACIONES-INSTALAR DESINSTALAR APLICACION</t>
        </is>
      </c>
      <c r="H32" s="2" t="inlineStr">
        <is>
          <t>Web</t>
        </is>
      </c>
      <c r="I32" s="2" t="inlineStr">
        <is>
          <t>Baja</t>
        </is>
      </c>
      <c r="J32" s="5">
        <v>46227.39027777778</v>
      </c>
      <c r="K32" s="2" t="inlineStr">
        <is>
          <t>KEVIN ALEXIS GARCIA GUARACA</t>
        </is>
      </c>
      <c r="L32" s="2" t="inlineStr">
        <is>
          <t>ZONA CENTRO</t>
        </is>
      </c>
      <c r="M32" s="2" t="inlineStr">
        <is>
          <t>SERVICIOS DE TI</t>
        </is>
      </c>
      <c r="N32" s="2"/>
      <c r="O32" s="2" t="inlineStr">
        <is>
          <t>BIENESTAR Y DESARROLLO SOCIAL</t>
        </is>
      </c>
      <c r="P32" s="2"/>
      <c r="Q32" s="2" t="inlineStr">
        <is>
          <t>AGGIBMZTENYZ6AT8ONXMT8ONXMDBOG</t>
        </is>
      </c>
      <c r="R32" s="2" t="inlineStr">
        <is>
          <t>a) 0-4</t>
        </is>
      </c>
      <c r="S32" s="4"/>
      <c r="T32" s="2" t="inlineStr">
        <is>
          <t>CAJA DE COMPENSACION</t>
        </is>
      </c>
      <c r="U32" s="2" t="inlineStr">
        <is>
          <t>-</t>
        </is>
      </c>
      <c r="V32" s="2" t="inlineStr">
        <is>
          <t>29/07/2026 09:25</t>
        </is>
      </c>
    </row>
    <row r="33">
      <c r="A33" s="2" t="inlineStr">
        <is>
          <t>🟠</t>
        </is>
      </c>
      <c r="B33" s="3" t="str">
        <f>HYPERLINK("https://compensar-smartit.onbmc.com/smartit/app/#/workorder/AGGIBMZTENYZ6AT8OPDTT8OPDTE9HW","WO0000000311793")</f>
        <v>WO0000000311793</v>
      </c>
      <c r="C33" s="2" t="inlineStr">
        <is>
          <t>No</t>
        </is>
      </c>
      <c r="D33" s="2" t="inlineStr">
        <is>
          <t>BF Aplicación de Usuario Final</t>
        </is>
      </c>
      <c r="E33" s="2" t="inlineStr">
        <is>
          <t>Asignado</t>
        </is>
      </c>
      <c r="F33" s="2" t="inlineStr">
        <is>
          <t>Ubicación para atención del Servicio: BLOQUE F TORRE F PISO 2 MERCADEO
Número de contacto para la atención del servicio: 3116220216
Frente: BIENESTAR Y DESARROLLO SOCIAL
Titulo: INSTALACIÓN DE ZEUS
Descripción: INSTALACIÓN DE ZEUS PARA LA USUARIA
MARIA CATALINA ANTOLINEZ LOPEZ
3116220216
MCANTOLINEZL@compensar.com
Tipo de Servicio: INSTALAR DESINSTALAR APLICACION
Aplicación: SWEX36-ZEUS
</t>
        </is>
      </c>
      <c r="G33" s="2" t="inlineStr">
        <is>
          <t>SERVICIOS DE TECNOLOGIA-GESTION DE APLICACIONES-INSTALAR DESINSTALAR APLICACION</t>
        </is>
      </c>
      <c r="H33" s="2" t="inlineStr">
        <is>
          <t>Web</t>
        </is>
      </c>
      <c r="I33" s="2" t="inlineStr">
        <is>
          <t>Baja</t>
        </is>
      </c>
      <c r="J33" s="5">
        <v>46227.407638888886</v>
      </c>
      <c r="K33" s="2" t="inlineStr">
        <is>
          <t>KEVIN ALEXIS GARCIA GUARACA</t>
        </is>
      </c>
      <c r="L33" s="2" t="inlineStr">
        <is>
          <t>ZONA CENTRO</t>
        </is>
      </c>
      <c r="M33" s="2" t="inlineStr">
        <is>
          <t>SERVICIOS DE TI</t>
        </is>
      </c>
      <c r="N33" s="2"/>
      <c r="O33" s="2" t="inlineStr">
        <is>
          <t>BIENESTAR Y DESARROLLO SOCIAL</t>
        </is>
      </c>
      <c r="P33" s="2"/>
      <c r="Q33" s="2" t="inlineStr">
        <is>
          <t>AGGIBMZTENYZ6AT8OPDTT8OPDTE9HW</t>
        </is>
      </c>
      <c r="R33" s="2" t="inlineStr">
        <is>
          <t>a) 0-4</t>
        </is>
      </c>
      <c r="S33" s="4"/>
      <c r="T33" s="2" t="inlineStr">
        <is>
          <t>CAJA DE COMPENSACION</t>
        </is>
      </c>
      <c r="U33" s="2" t="inlineStr">
        <is>
          <t>-</t>
        </is>
      </c>
      <c r="V33" s="2" t="inlineStr">
        <is>
          <t>29/07/2026 09:49</t>
        </is>
      </c>
    </row>
    <row r="34">
      <c r="A34" s="2" t="inlineStr">
        <is>
          <t>🟠</t>
        </is>
      </c>
      <c r="B34" s="3" t="str">
        <f>HYPERLINK("https://compensar-smartit.onbmc.com/smartit/app/#/workorder/IDGIBMZTENYZ6AT8OPNUT8OPNUFDD4","WO0000000311796")</f>
        <v>WO0000000311796</v>
      </c>
      <c r="C34" s="2" t="inlineStr">
        <is>
          <t>No</t>
        </is>
      </c>
      <c r="D34" s="2" t="inlineStr">
        <is>
          <t>Configuracion Archivo PST de correo</t>
        </is>
      </c>
      <c r="E34" s="2" t="inlineStr">
        <is>
          <t>En curso</t>
        </is>
      </c>
      <c r="F34" s="2" t="inlineStr">
        <is>
          <t>Usuario         : Marcela Aguasaco Sanchez
CC              : 1023879124
Tel             : 3002432446
Informa         : La colaboradora reporta una novedad con el archivo PST. Se intenta realizar conexión remota al equipo mediante Asistencia Rápida, pero no fue posible establecer la conexión. Se evidencia que la solicitud corresponde a la vinculación de un archivo PST con peso de 37gb previamente descargado en el equipo.
Ubicación       : Sede Bloque F Piso 3 - Comedores Escolares
Tiempo          : 9:57 a. m. 24/07/2026
Impacto         : 1
Placa de equipo : No especificada
Evidencias      : No especificada</t>
        </is>
      </c>
      <c r="G34" s="2" t="inlineStr">
        <is>
          <t>SERVICIOS DE TECNOLOGIA-PLATAFORMA TI-OFFICE 365 CONFIGURACIONES Y GENERALES DE BUZONES</t>
        </is>
      </c>
      <c r="H34" s="2" t="inlineStr">
        <is>
          <t>Telefono</t>
        </is>
      </c>
      <c r="I34" s="2" t="inlineStr">
        <is>
          <t>Baja</t>
        </is>
      </c>
      <c r="J34" s="5">
        <v>46227.41805555556</v>
      </c>
      <c r="K34" s="2" t="inlineStr">
        <is>
          <t>DILAN SAMIR LOPEZ ARAUJO</t>
        </is>
      </c>
      <c r="L34" s="2" t="inlineStr">
        <is>
          <t>ZONA CENTRO</t>
        </is>
      </c>
      <c r="M34" s="2" t="inlineStr">
        <is>
          <t>SERVICIOS DE TI</t>
        </is>
      </c>
      <c r="N34" s="2" t="inlineStr">
        <is>
          <t>CORREO ELECTRONICO</t>
        </is>
      </c>
      <c r="O34" s="2" t="inlineStr">
        <is>
          <t>BIENESTAR Y DESARROLLO SOCIAL</t>
        </is>
      </c>
      <c r="P34" s="2"/>
      <c r="Q34" s="2" t="inlineStr">
        <is>
          <t>IDGIBMZTENYZ6AT8OPNUT8OPNUFDD4</t>
        </is>
      </c>
      <c r="R34" s="2" t="inlineStr">
        <is>
          <t>a) 0-4</t>
        </is>
      </c>
      <c r="S34" s="4"/>
      <c r="T34" s="2"/>
      <c r="U34" s="2" t="inlineStr">
        <is>
          <t>-</t>
        </is>
      </c>
      <c r="V34" s="2" t="inlineStr">
        <is>
          <t>29/07/2026 10:02</t>
        </is>
      </c>
    </row>
    <row r="35">
      <c r="A35" s="2" t="inlineStr">
        <is>
          <t>🟠</t>
        </is>
      </c>
      <c r="B35" s="3" t="str">
        <f>HYPERLINK("https://compensar-smartit.onbmc.com/smartit/app/#/workorder/AGGGSWY0I24JCAT8OP4FT8OP4FT83B","WO0000000311801")</f>
        <v>WO0000000311801</v>
      </c>
      <c r="C35" s="2" t="inlineStr">
        <is>
          <t>No</t>
        </is>
      </c>
      <c r="D35" s="2" t="inlineStr">
        <is>
          <t>BF Aplicación de Usuario Final</t>
        </is>
      </c>
      <c r="E35" s="2" t="inlineStr">
        <is>
          <t>Asignado</t>
        </is>
      </c>
      <c r="F35" s="2" t="inlineStr">
        <is>
          <t>Ubicación para atención del Servicio: BLOQUE F TORRE F PISO 2 MERCADEO
Número de contacto para la atención del servicio: 3144619411
Frente: BIENESTAR Y DESARROLLO SOCIAL
Titulo: INSTALACIÓN DE ZEUS
Descripción: INSTALACIÓN DE ZEUS PARA EL USUARIO
FABIAN ALEJANDRO ZAMBRANO ARCINIEGAS
3144619411
FAZAMBRANOA@compensar.com
Tipo de Servicio: INSTALAR DESINSTALAR APLICACION
Aplicación: SWEX36-ZEUS
</t>
        </is>
      </c>
      <c r="G35" s="2" t="inlineStr">
        <is>
          <t>SERVICIOS DE TECNOLOGIA-GESTION DE APLICACIONES-INSTALAR DESINSTALAR APLICACION</t>
        </is>
      </c>
      <c r="H35" s="2" t="inlineStr">
        <is>
          <t>Web</t>
        </is>
      </c>
      <c r="I35" s="2" t="inlineStr">
        <is>
          <t>Baja</t>
        </is>
      </c>
      <c r="J35" s="5">
        <v>46227.4125</v>
      </c>
      <c r="K35" s="2" t="inlineStr">
        <is>
          <t>KEVIN ALEXIS GARCIA GUARACA</t>
        </is>
      </c>
      <c r="L35" s="2" t="inlineStr">
        <is>
          <t>ZONA CENTRO</t>
        </is>
      </c>
      <c r="M35" s="2" t="inlineStr">
        <is>
          <t>SERVICIOS DE TI</t>
        </is>
      </c>
      <c r="N35" s="2"/>
      <c r="O35" s="2" t="inlineStr">
        <is>
          <t>BIENESTAR Y DESARROLLO SOCIAL</t>
        </is>
      </c>
      <c r="P35" s="2"/>
      <c r="Q35" s="2" t="inlineStr">
        <is>
          <t>AGGGSWY0I24JCAT8OP4FT8OP4FT83B</t>
        </is>
      </c>
      <c r="R35" s="2" t="inlineStr">
        <is>
          <t>a) 0-4</t>
        </is>
      </c>
      <c r="S35" s="4"/>
      <c r="T35" s="2" t="inlineStr">
        <is>
          <t>CAJA DE COMPENSACION</t>
        </is>
      </c>
      <c r="U35" s="2" t="inlineStr">
        <is>
          <t>-</t>
        </is>
      </c>
      <c r="V35" s="2" t="inlineStr">
        <is>
          <t>29/07/2026 09:56</t>
        </is>
      </c>
    </row>
    <row r="36">
      <c r="A36" s="2" t="inlineStr">
        <is>
          <t>🟠</t>
        </is>
      </c>
      <c r="B36" s="3" t="str">
        <f>HYPERLINK("https://compensar-smartit.onbmc.com/smartit/app/#/workorder/AGGGSWY0I24JCAT8OPOWT8OPOWTZML","WO0000000311803")</f>
        <v>WO0000000311803</v>
      </c>
      <c r="C36" s="2" t="inlineStr">
        <is>
          <t>No</t>
        </is>
      </c>
      <c r="D36" s="2" t="inlineStr">
        <is>
          <t>BF Aplicación de Usuario Final</t>
        </is>
      </c>
      <c r="E36" s="2" t="inlineStr">
        <is>
          <t>Asignado</t>
        </is>
      </c>
      <c r="F36" s="2" t="inlineStr">
        <is>
          <t>Ubicación para atención del Servicio: BLOQUE F TORRE F PISO 2 MERCADEO
Número de contacto para la atención del servicio: 3012231294
Frente: BIENESTAR Y DESARROLLO SOCIAL
Titulo: INSTALACIÓN DE ZEUS
Descripción: INSTALACIÓN DE ZEUS PARA LA USUARIA
VIVIANA PAOLA GUARNIZO SIERRA
3012231294
VPGUARNIZOS@compensar.com
Tipo de Servicio: INSTALAR DESINSTALAR APLICACION
Aplicación: SWEX36-ZEUS
</t>
        </is>
      </c>
      <c r="G36" s="2" t="inlineStr">
        <is>
          <t>SERVICIOS DE TECNOLOGIA-GESTION DE APLICACIONES-INSTALAR DESINSTALAR APLICACION</t>
        </is>
      </c>
      <c r="H36" s="2" t="inlineStr">
        <is>
          <t>Web</t>
        </is>
      </c>
      <c r="I36" s="2" t="inlineStr">
        <is>
          <t>Baja</t>
        </is>
      </c>
      <c r="J36" s="5">
        <v>46227.416666666664</v>
      </c>
      <c r="K36" s="2" t="inlineStr">
        <is>
          <t>KEVIN ALEXIS GARCIA GUARACA</t>
        </is>
      </c>
      <c r="L36" s="2" t="inlineStr">
        <is>
          <t>ZONA CENTRO</t>
        </is>
      </c>
      <c r="M36" s="2" t="inlineStr">
        <is>
          <t>SERVICIOS DE TI</t>
        </is>
      </c>
      <c r="N36" s="2"/>
      <c r="O36" s="2" t="inlineStr">
        <is>
          <t>BIENESTAR Y DESARROLLO SOCIAL</t>
        </is>
      </c>
      <c r="P36" s="2"/>
      <c r="Q36" s="2" t="inlineStr">
        <is>
          <t>AGGGSWY0I24JCAT8OPOWT8OPOWTZML</t>
        </is>
      </c>
      <c r="R36" s="2" t="inlineStr">
        <is>
          <t>a) 0-4</t>
        </is>
      </c>
      <c r="S36" s="4"/>
      <c r="T36" s="2" t="inlineStr">
        <is>
          <t>CAJA DE COMPENSACION</t>
        </is>
      </c>
      <c r="U36" s="2" t="inlineStr">
        <is>
          <t>-</t>
        </is>
      </c>
      <c r="V36" s="2" t="inlineStr">
        <is>
          <t>29/07/2026 10:02</t>
        </is>
      </c>
    </row>
    <row r="37">
      <c r="A37" s="2" t="inlineStr">
        <is>
          <t>🟠</t>
        </is>
      </c>
      <c r="B37" s="3" t="str">
        <f>HYPERLINK("https://compensar-smartit.onbmc.com/smartit/app/#/workorder/AGGGSWY0I24JCAT8OPXGT8OPXGU0E9","WO0000000311806")</f>
        <v>WO0000000311806</v>
      </c>
      <c r="C37" s="2" t="inlineStr">
        <is>
          <t>No</t>
        </is>
      </c>
      <c r="D37" s="2" t="inlineStr">
        <is>
          <t>BF Aplicación de Usuario Final</t>
        </is>
      </c>
      <c r="E37" s="2" t="inlineStr">
        <is>
          <t>Asignado</t>
        </is>
      </c>
      <c r="F37" s="2" t="inlineStr">
        <is>
          <t>Ubicación para atención del Servicio: BLOQUE F TORRE F PISO 2 MERCADEO
Número de contacto para la atención del servicio: 3102465596
Frente: BIENESTAR Y DESARROLLO SOCIAL
Titulo: INSTALACIÓN DE ZEUS
Descripción: INSTALACIÓN DE ZEUS PARA EL USUARIO
JORGE FELIX MEDINA ANCHUNDIA
3102465596
JFMEDINAA@compensar.com
Tipo de Servicio: INSTALAR DESINSTALAR APLICACION
Aplicación: SWEX36-ZEUS
</t>
        </is>
      </c>
      <c r="G37" s="2" t="inlineStr">
        <is>
          <t>SERVICIOS DE TECNOLOGIA-GESTION DE APLICACIONES-INSTALAR DESINSTALAR APLICACION</t>
        </is>
      </c>
      <c r="H37" s="2" t="inlineStr">
        <is>
          <t>Web</t>
        </is>
      </c>
      <c r="I37" s="2" t="inlineStr">
        <is>
          <t>Baja</t>
        </is>
      </c>
      <c r="J37" s="5">
        <v>46227.42013888889</v>
      </c>
      <c r="K37" s="2" t="inlineStr">
        <is>
          <t>KEVIN ALEXIS GARCIA GUARACA</t>
        </is>
      </c>
      <c r="L37" s="2" t="inlineStr">
        <is>
          <t>ZONA CENTRO</t>
        </is>
      </c>
      <c r="M37" s="2" t="inlineStr">
        <is>
          <t>SERVICIOS DE TI</t>
        </is>
      </c>
      <c r="N37" s="2"/>
      <c r="O37" s="2" t="inlineStr">
        <is>
          <t>BIENESTAR Y DESARROLLO SOCIAL</t>
        </is>
      </c>
      <c r="P37" s="2"/>
      <c r="Q37" s="2" t="inlineStr">
        <is>
          <t>AGGGSWY0I24JCAT8OPXGT8OPXGU0E9</t>
        </is>
      </c>
      <c r="R37" s="2" t="inlineStr">
        <is>
          <t>a) 0-4</t>
        </is>
      </c>
      <c r="S37" s="4"/>
      <c r="T37" s="2" t="inlineStr">
        <is>
          <t>CAJA DE COMPENSACION</t>
        </is>
      </c>
      <c r="U37" s="2" t="inlineStr">
        <is>
          <t>-</t>
        </is>
      </c>
      <c r="V37" s="2" t="inlineStr">
        <is>
          <t>29/07/2026 10:07</t>
        </is>
      </c>
    </row>
    <row r="38">
      <c r="A38" s="2" t="inlineStr">
        <is>
          <t>🟠</t>
        </is>
      </c>
      <c r="B38" s="3" t="str">
        <f>HYPERLINK("https://compensar-smartit.onbmc.com/smartit/app/#/workorder/AGGGSWY0I24JCAT8OUIFT8OUIFAE9P","WO0000000311841")</f>
        <v>WO0000000311841</v>
      </c>
      <c r="C38" s="2" t="inlineStr">
        <is>
          <t>No</t>
        </is>
      </c>
      <c r="D38" s="2" t="inlineStr">
        <is>
          <t>Solicitudes de Escritorio Virtual</t>
        </is>
      </c>
      <c r="E38" s="2" t="inlineStr">
        <is>
          <t>En curso</t>
        </is>
      </c>
      <c r="F38" s="2" t="inlineStr">
        <is>
          <t>Ubicación para atención del Servicio: TELETRABAJO ESCRITORIO VIRTUAL
Número de contacto para la atención del servicio: 3195179420
Frente: SALUD
Titulo: actualización del archivo hosts en los EV ambientes de pruebas
Tipo de Servicio: CONFIGURAR SISTEMA OPERATIVO
Perfil de Escritorio Virtual: PRUEBAS
Nombre de la máquina: EVS PRUEBAS
Descripción: Cordial saludo, Solicitamos por favor apoyo con la actualización y adición de las ip´s del archivo hosts en los EV ambientes de pruebas, realizando el cambio o adición correspondiente del nombre del servidor indicado:
PRUEBAS
172.27.233.25 VMAZPRUZINC
172.27.233.41 VMAZPRUCOBALTO
172.27.233.37 VMAZPRUMANGANESO
172.27.233.36 VMAZPRUCROMO
Justificación: Actualmente, la configuración existente está generando novedades en el ingreso a OnBase V24.1 en implementación debido a que las solicitudes continúan resolviendo hacia la IP asociada al servidor anterior, teniendo en cuenta que estos servidores fueron desmontados.
Gracias
Información Importante: Si
</t>
        </is>
      </c>
      <c r="G38" s="2" t="inlineStr">
        <is>
          <t>SERVICIOS DE TECNOLOGIA-ESCRITORIOS VIRTUALES-CONFIGURAR SISTEMA OPERATIVO</t>
        </is>
      </c>
      <c r="H38" s="2" t="inlineStr">
        <is>
          <t>Web</t>
        </is>
      </c>
      <c r="I38" s="2" t="inlineStr">
        <is>
          <t>Baja</t>
        </is>
      </c>
      <c r="J38" s="5">
        <v>46227.48472222222</v>
      </c>
      <c r="K38" s="2" t="inlineStr">
        <is>
          <t>JULIAN HUMBERTO MOLINA BERNAL</t>
        </is>
      </c>
      <c r="L38" s="2" t="inlineStr">
        <is>
          <t>SPT ESCRITORIO VIRTUAL</t>
        </is>
      </c>
      <c r="M38" s="2" t="inlineStr">
        <is>
          <t>SERVICIOS DE TI</t>
        </is>
      </c>
      <c r="N38" s="2"/>
      <c r="O38" s="2" t="inlineStr">
        <is>
          <t>SALUD</t>
        </is>
      </c>
      <c r="P38" s="2"/>
      <c r="Q38" s="2" t="inlineStr">
        <is>
          <t>AGGGSWY0I24JCAT8OUIFT8OUIFAE9P</t>
        </is>
      </c>
      <c r="R38" s="2" t="inlineStr">
        <is>
          <t>a) 0-4</t>
        </is>
      </c>
      <c r="S38" s="4"/>
      <c r="T38" s="2" t="inlineStr">
        <is>
          <t>SALUD</t>
        </is>
      </c>
      <c r="U38" s="2" t="inlineStr">
        <is>
          <t>-</t>
        </is>
      </c>
      <c r="V38" s="2" t="inlineStr">
        <is>
          <t>29/07/2026 11:38</t>
        </is>
      </c>
    </row>
    <row r="39">
      <c r="A39" s="2" t="inlineStr">
        <is>
          <t>🟢</t>
        </is>
      </c>
      <c r="B39" s="3" t="str">
        <f>HYPERLINK("https://compensar-smartit.onbmc.com/smartit/app/#/workorder/IDGGSWY0I24JCAT8OYHRT8OYHRFTOP","WO0000000311884")</f>
        <v>WO0000000311884</v>
      </c>
      <c r="C39" s="2" t="inlineStr">
        <is>
          <t>No</t>
        </is>
      </c>
      <c r="D39" s="2" t="inlineStr">
        <is>
          <t>Envio/instalación MOUSE ALAMBRICO DELL OPTIPLEX 3070 MICRO XCTO M2 activo 910500003897</t>
        </is>
      </c>
      <c r="E39" s="2" t="inlineStr">
        <is>
          <t>En curso</t>
        </is>
      </c>
      <c r="F39" s="2" t="inlineStr">
        <is>
          <t>Ubicación para atención del Servicio: BLOQUE F TORRE F PISO 4 NEGOCIACION Y COTIZACION
Número de contacto para la atención del servicio: 3164958847
Frente: CENTRO DE SERVICIOS COMPARTIDOS
Falla: NO ENCIENDE/NO FUNCIONA
¿Cual es el dispositivo que presenta la falla?: [MOUSE]
Nombre de equipo (inventario o placa): MOUSE MARCA DELL
Descripción del incidente o falla: Mouse presenta falla no funciona correctamente el botón Derecho</t>
        </is>
      </c>
      <c r="G39" s="2" t="inlineStr">
        <is>
          <t>SERVICIOS DE TECNOLOGIA-ACTIVOS FIJOS TECNOLOGIA-ADQUISICION PARTES SIN GARANTIA</t>
        </is>
      </c>
      <c r="H39" s="2" t="inlineStr">
        <is>
          <t>Web</t>
        </is>
      </c>
      <c r="I39" s="2" t="inlineStr">
        <is>
          <t>Baja</t>
        </is>
      </c>
      <c r="J39" s="5">
        <v>46227.54583333333</v>
      </c>
      <c r="K39" s="2" t="inlineStr">
        <is>
          <t>GERLYN RENTERIA OROZCO</t>
        </is>
      </c>
      <c r="L39" s="2" t="inlineStr">
        <is>
          <t>ZONA CENTRO</t>
        </is>
      </c>
      <c r="M39" s="2" t="inlineStr">
        <is>
          <t>SERVICIOS DE TI</t>
        </is>
      </c>
      <c r="N39" s="2"/>
      <c r="O39" s="2" t="inlineStr">
        <is>
          <t>BIENESTAR Y DESARROLLO SOCIAL</t>
        </is>
      </c>
      <c r="P39" s="2"/>
      <c r="Q39" s="2" t="inlineStr">
        <is>
          <t>IDGGSWY0I24JCAT8OYHRT8OYHRFTOP</t>
        </is>
      </c>
      <c r="R39" s="2" t="inlineStr">
        <is>
          <t>a) 0-4</t>
        </is>
      </c>
      <c r="S39" s="4"/>
      <c r="T39" s="2"/>
      <c r="U39" s="2" t="inlineStr">
        <is>
          <t>-</t>
        </is>
      </c>
      <c r="V39" s="2" t="inlineStr">
        <is>
          <t>25/08/2026 14:24</t>
        </is>
      </c>
    </row>
    <row r="40">
      <c r="A40" s="2" t="inlineStr">
        <is>
          <t>🟢</t>
        </is>
      </c>
      <c r="B40" s="3" t="str">
        <f>HYPERLINK("https://compensar-smartit.onbmc.com/smartit/app/#/workorder/IDGGSWY0I24JCAT8OZC0T8OZC0GL6Q","WO0000000311890")</f>
        <v>WO0000000311890</v>
      </c>
      <c r="C40" s="2" t="inlineStr">
        <is>
          <t>No</t>
        </is>
      </c>
      <c r="D40" s="2" t="inlineStr">
        <is>
          <t>Aumento RAM en la sede CARRERA 69 activo 152800005434</t>
        </is>
      </c>
      <c r="E40" s="2" t="inlineStr">
        <is>
          <t>En curso</t>
        </is>
      </c>
      <c r="F40" s="2" t="inlineStr">
        <is>
          <t>Aumento RAM DELL DELL OPTIPLEX 3060 Serial 27MRNY2 Con placa 152800005434 hostname C005434 en la sede CARRERA 69 ubicación TORRE B PISO 4 PUESTO 19		
Ubicación para atención del Servicio: CRA 69 B TORRE B PISO 4 PUESTO 49
Número de contacto para la atención del servicio: 0000
Frente: SALUD
Título: Recursos insuficientes equipo lento
Descripción: Buen día
Solicito de tu amable colaboración nos ayuden con el equipo C005434 que presenta lentitud constante y cuando abro más de un aplicativo a la vez, como sql teams y el navegador
Tipo de Servicio: INSTALAR DESINSTALAR APLICACION
Aplicación: CORREO CORPORATIVO
El usuario  (nombre y apellido del usuario) solicita … 
Cédula:  1130622971
Ubicación:   Cra 69 No. 47-34 torre B piso 4
Placa: C005434
Serial: 27MRNY2</t>
        </is>
      </c>
      <c r="G40" s="2" t="inlineStr">
        <is>
          <t>SERVICIOS DE TECNOLOGIA-ACTIVOS FIJOS TECNOLOGIA-ADQUISICION PARTES SIN GARANTIA</t>
        </is>
      </c>
      <c r="H40" s="2" t="inlineStr">
        <is>
          <t>Web</t>
        </is>
      </c>
      <c r="I40" s="2" t="inlineStr">
        <is>
          <t>Baja</t>
        </is>
      </c>
      <c r="J40" s="5">
        <v>46227.56597222222</v>
      </c>
      <c r="K40" s="2" t="inlineStr">
        <is>
          <t>JOSE ARLEY SANCHEZ COLORADO</t>
        </is>
      </c>
      <c r="L40" s="2" t="inlineStr">
        <is>
          <t>SPT CABECERA CARRERA 69</t>
        </is>
      </c>
      <c r="M40" s="2" t="inlineStr">
        <is>
          <t>SERVICIOS DE TI</t>
        </is>
      </c>
      <c r="N40" s="2" t="inlineStr">
        <is>
          <t>C005434</t>
        </is>
      </c>
      <c r="O40" s="2" t="inlineStr">
        <is>
          <t>SALUD</t>
        </is>
      </c>
      <c r="P40" s="2"/>
      <c r="Q40" s="2" t="inlineStr">
        <is>
          <t>IDGGSWY0I24JCAT8OZC0T8OZC0GL6Q</t>
        </is>
      </c>
      <c r="R40" s="2" t="inlineStr">
        <is>
          <t>a) 0-4</t>
        </is>
      </c>
      <c r="S40" s="4"/>
      <c r="T40" s="2"/>
      <c r="U40" s="2" t="inlineStr">
        <is>
          <t>-</t>
        </is>
      </c>
      <c r="V40" s="2" t="inlineStr">
        <is>
          <t>29/07/2026 13:35</t>
        </is>
      </c>
    </row>
    <row r="41">
      <c r="A41" s="2" t="inlineStr">
        <is>
          <t>🟠</t>
        </is>
      </c>
      <c r="B41" s="3" t="str">
        <f>HYPERLINK("https://compensar-smartit.onbmc.com/smartit/app/#/workorder/AGGIBMZTENYZ6AT8OSKVT8OSKVI1K0","WO0000000312028")</f>
        <v>WO0000000312028</v>
      </c>
      <c r="C41" s="2" t="inlineStr">
        <is>
          <t>No</t>
        </is>
      </c>
      <c r="D41" s="2" t="inlineStr">
        <is>
          <t>Aplicación de Usuario Final</t>
        </is>
      </c>
      <c r="E41" s="2" t="inlineStr">
        <is>
          <t>En curso</t>
        </is>
      </c>
      <c r="F41" s="2" t="inlineStr">
        <is>
          <t>Ubicación para atención del Servicio: C69 TORRE A PISO 1 BIEN IMPRODUCTIVO
Número de contacto para la atención del servicio: 3143138534
Frente: CLIENTES
Titulo: ACOMPAÑAMIENTO SPT LUNES  27/07/2026 3:30 PM  CONFIGURACIÓN DE APLICATIVO KTC BELLTECH OFICINA MODULOS SEDE CUR
Descripción: Buena tarde
Equipo SPT SEDE CUR
Solicitamos su valioso acompañamiento Presencial para el dia  LUNES  27/07/2026 3:30 PM   con el objetivo de configurar APLICATIVO KTC DE PROVEEDOR BELLTECH EN LA OFICINA DE MODULOS DE LA SEDE CUR:
Agradecemos tambien conectarse a la sesion programada en caso de requerir apoyo remoto del proveedor: 
https://teams.microsoft.com/meet/251971705481952?p=ERTbvWPu259EYvEG4q
CONTACTAR A LOS COLABORADORES/ AUXILIARES DE SERVICIO AL CLIENTE DE MODULOS:
Paul Rodriguez Mondragon CUR - 69  CEL 3017624546
Julio Pedraza CUR - 69  CEL 3178941269
Maryoris Ramos Gomez 3143138534
Gracias por su apoyo y atención,
Tipo de Servicio: PARAMETRIZAR Y O CONFIGURAR APLICACION
Aplicación: SWEX55-MODULOSAUTOSERVICIOS
</t>
        </is>
      </c>
      <c r="G41" s="2" t="inlineStr">
        <is>
          <t>SERVICIOS DE TECNOLOGIA-GESTION DE APLICACIONES-PARAMETRIZAR Y O CONFIGURAR APLICACION</t>
        </is>
      </c>
      <c r="H41" s="2" t="inlineStr">
        <is>
          <t>Web</t>
        </is>
      </c>
      <c r="I41" s="2" t="inlineStr">
        <is>
          <t>Baja</t>
        </is>
      </c>
      <c r="J41" s="5">
        <v>46227.45972222222</v>
      </c>
      <c r="K41" s="2" t="inlineStr">
        <is>
          <t>KEVIN ALEXIS GARCIA GUARACA</t>
        </is>
      </c>
      <c r="L41" s="2" t="inlineStr">
        <is>
          <t>ZONA CENTRO</t>
        </is>
      </c>
      <c r="M41" s="2" t="inlineStr">
        <is>
          <t>SERVICIOS DE TI</t>
        </is>
      </c>
      <c r="N41" s="2"/>
      <c r="O41" s="2" t="inlineStr">
        <is>
          <t>CLIENTES</t>
        </is>
      </c>
      <c r="P41" s="2"/>
      <c r="Q41" s="2" t="inlineStr">
        <is>
          <t>AGGIBMZTENYZ6AT8OSKVT8OSKVI1K0</t>
        </is>
      </c>
      <c r="R41" s="2" t="inlineStr">
        <is>
          <t>a) 0-4</t>
        </is>
      </c>
      <c r="S41" s="4"/>
      <c r="T41" s="2" t="inlineStr">
        <is>
          <t>CAJA DE COMPENSACION</t>
        </is>
      </c>
      <c r="U41" s="2" t="inlineStr">
        <is>
          <t>-</t>
        </is>
      </c>
      <c r="V41" s="2" t="inlineStr">
        <is>
          <t>29/07/2026 11:51</t>
        </is>
      </c>
    </row>
    <row r="42">
      <c r="A42" s="2" t="inlineStr">
        <is>
          <t>🟠</t>
        </is>
      </c>
      <c r="B42" s="3" t="str">
        <f>HYPERLINK("https://compensar-smartit.onbmc.com/smartit/app/#/workorder/IDGIBMZTENYZ6AT8OTO2T8OTO2JP7Z","WO0000000312038")</f>
        <v>WO0000000312038</v>
      </c>
      <c r="C42" s="2" t="inlineStr">
        <is>
          <t>No</t>
        </is>
      </c>
      <c r="D42" s="2" t="inlineStr">
        <is>
          <t>Instalación de TECLADO ALAMBRICO activo C006034 sede CHIA - WO0000000310171</t>
        </is>
      </c>
      <c r="E42" s="2" t="inlineStr">
        <is>
          <t>Asignado</t>
        </is>
      </c>
      <c r="F42" s="2" t="inlineStr">
        <is>
          <t>Saludos	
Apreciado, reciba un cordial saludo, se aprobó por parte del ADMIN de activos el cambio, bodega enviará y gestionará la logística de despacho de la parte solicitada, por favor realizar entrega e instalación de: TECLADO ALAMBRICO En la sede CHIA PISO 2 CONSULTORIO 16, equipo DELL DELL OPTIPLEX 3060 Con placa C006034, usuaria/o responsable TATIANA MILENA ROMERO MORENO. En atención al caso WO0000000310171.	
Gracias por su amable atención.	
"Trabajamos para brindarle la mejor experiencia. Si requiere apoyo, comuníquese por:
Tel. (1) 428 0666: caja ext. 13900 Op. 2 / salud ext. 22444 Op. 2
Catálogo: https ://compensar-dwp.onbmc.com/dwp/app/#/catalog
Chatbot LAMIS en el catálogo o en Teams
Gracias por su amable atención.
Cordialmente"</t>
        </is>
      </c>
      <c r="G42" s="2" t="inlineStr">
        <is>
          <t>SERVICIOS DE TECNOLOGIA-ASESORIA/ACOMPANAMIENTO/ACTIVIDADES-EJECUCION DE ACTIVIDADES EN SITIO</t>
        </is>
      </c>
      <c r="H42" s="2" t="inlineStr">
        <is>
          <t>Web</t>
        </is>
      </c>
      <c r="I42" s="2" t="inlineStr">
        <is>
          <t>Baja</t>
        </is>
      </c>
      <c r="J42" s="5">
        <v>46227.47708333333</v>
      </c>
      <c r="K42" s="2" t="inlineStr">
        <is>
          <t>MIGUEL JOSE NUÑEZ MARQUEZ</t>
        </is>
      </c>
      <c r="L42" s="2" t="inlineStr">
        <is>
          <t>ZONA CENTRO</t>
        </is>
      </c>
      <c r="M42" s="2" t="inlineStr">
        <is>
          <t>SERVICIOS DE TI</t>
        </is>
      </c>
      <c r="N42" s="2"/>
      <c r="O42" s="2" t="inlineStr">
        <is>
          <t>SALUD</t>
        </is>
      </c>
      <c r="P42" s="2"/>
      <c r="Q42" s="2" t="inlineStr">
        <is>
          <t>IDGIBMZTENYZ6AT8OTO2T8OTO2JP7Z</t>
        </is>
      </c>
      <c r="R42" s="2" t="inlineStr">
        <is>
          <t>a) 0-4</t>
        </is>
      </c>
      <c r="S42" s="4"/>
      <c r="T42" s="2"/>
      <c r="U42" s="2" t="inlineStr">
        <is>
          <t>-</t>
        </is>
      </c>
      <c r="V42" s="2" t="inlineStr">
        <is>
          <t>28/07/2026 16:24</t>
        </is>
      </c>
    </row>
    <row r="43">
      <c r="A43" s="2" t="inlineStr">
        <is>
          <t>🟠</t>
        </is>
      </c>
      <c r="B43" s="3" t="str">
        <f>HYPERLINK("https://compensar-smartit.onbmc.com/smartit/app/#/workorder/IDGIBMZTENYZ6AT8OTR8T8OTR8JS3F","WO0000000312039")</f>
        <v>WO0000000312039</v>
      </c>
      <c r="C43" s="2" t="inlineStr">
        <is>
          <t>No</t>
        </is>
      </c>
      <c r="D43" s="2" t="inlineStr">
        <is>
          <t>Instalación de MOUSE ALAMBRICO activo C006034 sede CHIA - WO0000000310208</t>
        </is>
      </c>
      <c r="E43" s="2" t="inlineStr">
        <is>
          <t>Asignado</t>
        </is>
      </c>
      <c r="F43" s="2" t="inlineStr">
        <is>
          <t>Saludos	
Apreciado, reciba un cordial saludo, se aprobó por parte del ADMIN de activos el cambio, bodega enviará y gestionará la logística de despacho de la parte solicitada, por favor realizar entrega e instalación de: MOUSE ALAMBRICO En la sede CHIA PISO 2 CONSULTORIO 16, equipo DELL DELL OPTIPLEX 3060 Con placa C006034, usuaria/o responsable TATIANA MILENA ROMERO MORENO. En atención al caso WO0000000310208.	
Gracias por su amable atención.	
"Trabajamos para brindarle la mejor experiencia. Si requiere apoyo, comuníquese por:
Tel. (1) 428 0666: caja ext. 13900 Op. 2 / salud ext. 22444 Op. 2
Catálogo: https ://compensar-dwp.onbmc.com/dwp/app/#/catalog
Chatbot LAMIS en el catálogo o en Teams
Gracias por su amable atención.
Cordialmente"</t>
        </is>
      </c>
      <c r="G43" s="2" t="inlineStr">
        <is>
          <t>SERVICIOS DE TECNOLOGIA-ASESORIA/ACOMPANAMIENTO/ACTIVIDADES-EJECUCION DE ACTIVIDADES EN SITIO</t>
        </is>
      </c>
      <c r="H43" s="2" t="inlineStr">
        <is>
          <t>Web</t>
        </is>
      </c>
      <c r="I43" s="2" t="inlineStr">
        <is>
          <t>Baja</t>
        </is>
      </c>
      <c r="J43" s="5">
        <v>46227.478472222225</v>
      </c>
      <c r="K43" s="2" t="inlineStr">
        <is>
          <t>MIGUEL JOSE NUÑEZ MARQUEZ</t>
        </is>
      </c>
      <c r="L43" s="2" t="inlineStr">
        <is>
          <t>ZONA CENTRO</t>
        </is>
      </c>
      <c r="M43" s="2" t="inlineStr">
        <is>
          <t>SERVICIOS DE TI</t>
        </is>
      </c>
      <c r="N43" s="2"/>
      <c r="O43" s="2" t="inlineStr">
        <is>
          <t>SALUD</t>
        </is>
      </c>
      <c r="P43" s="2"/>
      <c r="Q43" s="2" t="inlineStr">
        <is>
          <t>IDGIBMZTENYZ6AT8OTR8T8OTR8JS3F</t>
        </is>
      </c>
      <c r="R43" s="2" t="inlineStr">
        <is>
          <t>a) 0-4</t>
        </is>
      </c>
      <c r="S43" s="4"/>
      <c r="T43" s="2"/>
      <c r="U43" s="2" t="inlineStr">
        <is>
          <t>-</t>
        </is>
      </c>
      <c r="V43" s="2" t="inlineStr">
        <is>
          <t>28/07/2026 16:24</t>
        </is>
      </c>
    </row>
    <row r="44">
      <c r="A44" s="2" t="inlineStr">
        <is>
          <t>🟠</t>
        </is>
      </c>
      <c r="B44" s="3" t="str">
        <f>HYPERLINK("https://compensar-smartit.onbmc.com/smartit/app/#/workorder/AGGIBMZTENYZ6AT8OU5AT8OU5A0KRH","WO0000000312049")</f>
        <v>WO0000000312049</v>
      </c>
      <c r="C44" s="2" t="inlineStr">
        <is>
          <t>No</t>
        </is>
      </c>
      <c r="D44" s="2" t="inlineStr">
        <is>
          <t>Aplicación de Usuario Final</t>
        </is>
      </c>
      <c r="E44" s="2" t="inlineStr">
        <is>
          <t>En curso</t>
        </is>
      </c>
      <c r="F44" s="2" t="inlineStr">
        <is>
          <t>Ubicación para atención del Servicio: BLOQUE G TORRE G PISO 1 ARCHIVO DE GARANTIAS
Número de contacto para la atención del servicio: 3005931771
Frente: CENTRO DE SERVICIOS COMPARTIDOS
Titulo: solicitud de instalación del aplicativo Onbase Unity
Descripción: solicitud de instalación del aplicativo Onbase Unity en los siguientes computadores ubicados en sede, quedamos atentos si requieres algo adicional.
CONTACTO EN SITIO Erika Liliana Sandoval Tel 3005931771
Numero de computador	Onbase instalado
910500003366	Sin Onbase
152800003658	Sin Onbase
C176653	Sin Onbase
152800003634	Sin Onbase
910500003731	Sin Onbase
Tipo de Servicio: INSTALAR DESINSTALAR APLICACION
Aplicación: SWEX41-ONBASE
</t>
        </is>
      </c>
      <c r="G44" s="2" t="inlineStr">
        <is>
          <t>SERVICIOS DE TECNOLOGIA-GESTION DE APLICACIONES-INSTALAR DESINSTALAR APLICACION</t>
        </is>
      </c>
      <c r="H44" s="2" t="inlineStr">
        <is>
          <t>Web</t>
        </is>
      </c>
      <c r="I44" s="2" t="inlineStr">
        <is>
          <t>Baja</t>
        </is>
      </c>
      <c r="J44" s="5">
        <v>46227.4875</v>
      </c>
      <c r="K44" s="2" t="inlineStr">
        <is>
          <t>GERLYN RENTERIA OROZCO</t>
        </is>
      </c>
      <c r="L44" s="2" t="inlineStr">
        <is>
          <t>ZONA CENTRO</t>
        </is>
      </c>
      <c r="M44" s="2" t="inlineStr">
        <is>
          <t>SERVICIOS DE TI</t>
        </is>
      </c>
      <c r="N44" s="2"/>
      <c r="O44" s="2" t="inlineStr">
        <is>
          <t>CENTRO DE SERVICIOS COMPARTIDOS</t>
        </is>
      </c>
      <c r="P44" s="2"/>
      <c r="Q44" s="2" t="inlineStr">
        <is>
          <t>AGGIBMZTENYZ6AT8OU5AT8OU5A0KRH</t>
        </is>
      </c>
      <c r="R44" s="2" t="inlineStr">
        <is>
          <t>a) 0-4</t>
        </is>
      </c>
      <c r="S44" s="4"/>
      <c r="T44" s="2" t="inlineStr">
        <is>
          <t>CAJA DE COMPENSACION</t>
        </is>
      </c>
      <c r="U44" s="2" t="inlineStr">
        <is>
          <t>-</t>
        </is>
      </c>
      <c r="V44" s="2" t="inlineStr">
        <is>
          <t>29/07/2026 11:45</t>
        </is>
      </c>
    </row>
    <row r="45">
      <c r="A45" s="2" t="inlineStr">
        <is>
          <t>🟠</t>
        </is>
      </c>
      <c r="B45" s="3" t="str">
        <f>HYPERLINK("https://compensar-smartit.onbmc.com/smartit/app/#/workorder/IDGIBMZTENYZ6AT8OUTKT8OUTK1B4P","WO0000000312052")</f>
        <v>WO0000000312052</v>
      </c>
      <c r="C45" s="2" t="inlineStr">
        <is>
          <t>No</t>
        </is>
      </c>
      <c r="D45" s="2" t="inlineStr">
        <is>
          <t>Instalación de RAM activo C014686 sede SAN ROQUE - WO0000000311413</t>
        </is>
      </c>
      <c r="E45" s="2" t="inlineStr">
        <is>
          <t>Asignado</t>
        </is>
      </c>
      <c r="F45" s="2" t="inlineStr">
        <is>
          <t>Saludos	
Apreciado, reciba un cordial saludo, se aprobó por parte del ADMIN de activos el cambio, bodega enviará y gestionará la logística de despacho de la parte solicitada, por favor realizar entrega e instalación de: RAM En la sede SAN ROQUE PISO 6 CONSULTORIO 604 TORRE E, equipo HEWLETT PACKARD HP PRODESK 400 G6 Con placa C014686, usuaria/o responsable TATIANA MILENA ROMERO MORENO. En atención al caso WO0000000311413.	
Gracias por su amable atención.	
"Trabajamos para brindarle la mejor experiencia. Si requiere apoyo, comuníquese por:
Tel. (1) 428 0666: caja ext. 13900 Op. 2 / salud ext. 22444 Op. 2
Catálogo: https ://compensar-dwp.onbmc.com/dwp/app/#/catalog
Chatbot LAMIS en el catálogo o en Teams
Gracias por su amable atención.
Cordialmente"</t>
        </is>
      </c>
      <c r="G45" s="2" t="inlineStr">
        <is>
          <t>SERVICIOS DE TECNOLOGIA-ASESORIA/ACOMPANAMIENTO/ACTIVIDADES-EJECUCION DE ACTIVIDADES EN SITIO</t>
        </is>
      </c>
      <c r="H45" s="2" t="inlineStr">
        <is>
          <t>Web</t>
        </is>
      </c>
      <c r="I45" s="2" t="inlineStr">
        <is>
          <t>Baja</t>
        </is>
      </c>
      <c r="J45" s="5">
        <v>46227.49375</v>
      </c>
      <c r="K45" s="2" t="inlineStr">
        <is>
          <t>MIGUEL JOSE NUÑEZ MARQUEZ</t>
        </is>
      </c>
      <c r="L45" s="2" t="inlineStr">
        <is>
          <t>ZONA CENTRO</t>
        </is>
      </c>
      <c r="M45" s="2" t="inlineStr">
        <is>
          <t>SERVICIOS DE TI</t>
        </is>
      </c>
      <c r="N45" s="2"/>
      <c r="O45" s="2" t="inlineStr">
        <is>
          <t>SALUD</t>
        </is>
      </c>
      <c r="P45" s="2"/>
      <c r="Q45" s="2" t="inlineStr">
        <is>
          <t>IDGIBMZTENYZ6AT8OUTKT8OUTK1B4P</t>
        </is>
      </c>
      <c r="R45" s="2" t="inlineStr">
        <is>
          <t>a) 0-4</t>
        </is>
      </c>
      <c r="S45" s="4"/>
      <c r="T45" s="2"/>
      <c r="U45" s="2" t="inlineStr">
        <is>
          <t>-</t>
        </is>
      </c>
      <c r="V45" s="2" t="inlineStr">
        <is>
          <t>28/07/2026 16:23</t>
        </is>
      </c>
    </row>
    <row r="46">
      <c r="A46" s="2" t="inlineStr">
        <is>
          <t>🟢</t>
        </is>
      </c>
      <c r="B46" s="3" t="str">
        <f>HYPERLINK("https://compensar-smartit.onbmc.com/smartit/app/#/workorder/AGGGSWY0I24JCAT8PFUET8PFUEPS4W","WO0000000312166")</f>
        <v>WO0000000312166</v>
      </c>
      <c r="C46" s="2" t="inlineStr">
        <is>
          <t>No</t>
        </is>
      </c>
      <c r="D46" s="2" t="inlineStr">
        <is>
          <t>Aplicación de Usuario Final</t>
        </is>
      </c>
      <c r="E46" s="2" t="inlineStr">
        <is>
          <t>En curso</t>
        </is>
      </c>
      <c r="F46" s="2" t="inlineStr">
        <is>
          <t>Ubicación para atención del Servicio: CSDE TORRE B PISO 4 GERENCIA RIESGO CORPORATIVO
Número de contacto para la atención del servicio: 1234567
Frente: CORPORATIVO
Titulo: Lentitud MAC C019828
Descripción: Cordial saludo, la maquina C019828 (MAC) de la colaboradora AMBOHORQUEZR fue recientemente formateada y se le instaló Global Protect y Falcon. Desde entonces ella ha evidenciado lentitud en la navegacion. Agradecemos su apoyo para validar si la VPN o algun factor instalado recientemente esta generando esta falla.
Tipo de Servicio: PARAMETRIZAR Y O CONFIGURAR APLICACION
Aplicación: SWEX232-PRISMA ACCESS
</t>
        </is>
      </c>
      <c r="G46" s="2" t="inlineStr">
        <is>
          <t>SERVICIOS DE TECNOLOGIA-GESTION DE APLICACIONES-PARAMETRIZAR Y O CONFIGURAR APLICACION</t>
        </is>
      </c>
      <c r="H46" s="2" t="inlineStr">
        <is>
          <t>Web</t>
        </is>
      </c>
      <c r="I46" s="2" t="inlineStr">
        <is>
          <t>Baja</t>
        </is>
      </c>
      <c r="J46" s="5">
        <v>46227.65902777778</v>
      </c>
      <c r="K46" s="2" t="inlineStr">
        <is>
          <t>ANDERSON JULIAN RATIVA RAMIREZ</t>
        </is>
      </c>
      <c r="L46" s="2" t="inlineStr">
        <is>
          <t>ZONA CENTRO</t>
        </is>
      </c>
      <c r="M46" s="2" t="inlineStr">
        <is>
          <t>SERVICIOS DE TI</t>
        </is>
      </c>
      <c r="N46" s="2"/>
      <c r="O46" s="2" t="inlineStr">
        <is>
          <t>CORPORATIVO</t>
        </is>
      </c>
      <c r="P46" s="2"/>
      <c r="Q46" s="2" t="inlineStr">
        <is>
          <t>AGGGSWY0I24JCAT8PFUET8PFUEPS4W</t>
        </is>
      </c>
      <c r="R46" s="2" t="inlineStr">
        <is>
          <t>a) 0-4</t>
        </is>
      </c>
      <c r="S46" s="4"/>
      <c r="T46" s="2" t="inlineStr">
        <is>
          <t>CAJA DE COMPENSACION</t>
        </is>
      </c>
      <c r="U46" s="2" t="inlineStr">
        <is>
          <t>-</t>
        </is>
      </c>
      <c r="V46" s="2" t="inlineStr">
        <is>
          <t>29/07/2026 15:49</t>
        </is>
      </c>
    </row>
    <row r="47">
      <c r="A47" s="2" t="inlineStr">
        <is>
          <t>🟠</t>
        </is>
      </c>
      <c r="B47" s="3" t="str">
        <f>HYPERLINK("https://compensar-smartit.onbmc.com/smartit/app/#/workorder/IDGIBMZTENYZ6AT8PG0WT8PG0WRWVL","WO0000000312263")</f>
        <v>WO0000000312263</v>
      </c>
      <c r="C47" s="2" t="inlineStr">
        <is>
          <t>No</t>
        </is>
      </c>
      <c r="D47" s="2" t="inlineStr">
        <is>
          <t>Instalación de Analysis for Excel</t>
        </is>
      </c>
      <c r="E47" s="2" t="inlineStr">
        <is>
          <t>En curso</t>
        </is>
      </c>
      <c r="F47" s="2" t="inlineStr">
        <is>
          <t>Usuario: JHONNATAN ARLEY FERRO PUIN
Informa: El usuario se comunica con la Mesa de Servicio solicitando la instalación de Analysis for Excel en su equipo.
Ubicación: Movilidad
Tiempo: 15:58 24/07/2026
Impacto: Usuarios afectados 1
Placa de equipo: No especificada
Evidencias:
1. Se recibió la solicitud de instalación de Analysis for Excel.
2. Se validó la información suministrada por el usuario.
3. Se realizó la gestión correspondiente para la instalación del aplicativo.
4. Se confirmó la atención del requerimiento.
5. Se registró la cédula del usuario: 1069737540.
6. Se registró el teléfono de contacto: 3182011635.</t>
        </is>
      </c>
      <c r="G47" s="2" t="inlineStr">
        <is>
          <t>SERVICIOS DE TECNOLOGIA-ACOMPANAMIENTO-EJECUCION DE ACTIVIDADES REMOTAS</t>
        </is>
      </c>
      <c r="H47" s="2" t="inlineStr">
        <is>
          <t>Telefono</t>
        </is>
      </c>
      <c r="I47" s="2" t="inlineStr">
        <is>
          <t>Baja</t>
        </is>
      </c>
      <c r="J47" s="5">
        <v>46227.666666666664</v>
      </c>
      <c r="K47" s="2" t="inlineStr">
        <is>
          <t>KEVIN ALEXIS GARCIA GUARACA</t>
        </is>
      </c>
      <c r="L47" s="2" t="inlineStr">
        <is>
          <t>ZONA CENTRO</t>
        </is>
      </c>
      <c r="M47" s="2" t="inlineStr">
        <is>
          <t>SERVICIOS DE TI</t>
        </is>
      </c>
      <c r="N47" s="2"/>
      <c r="O47" s="2" t="inlineStr">
        <is>
          <t>BIENESTAR Y DESARROLLO SOCIAL</t>
        </is>
      </c>
      <c r="P47" s="2"/>
      <c r="Q47" s="2" t="inlineStr">
        <is>
          <t>IDGIBMZTENYZ6AT8PG0WT8PG0WRWVL</t>
        </is>
      </c>
      <c r="R47" s="2" t="inlineStr">
        <is>
          <t>a) 0-4</t>
        </is>
      </c>
      <c r="S47" s="4"/>
      <c r="T47" s="2"/>
      <c r="U47" s="2" t="inlineStr">
        <is>
          <t>-</t>
        </is>
      </c>
      <c r="V47" s="2" t="inlineStr">
        <is>
          <t>29/07/2026 09:00</t>
        </is>
      </c>
    </row>
    <row r="48">
      <c r="A48" s="2" t="inlineStr">
        <is>
          <t>🟢</t>
        </is>
      </c>
      <c r="B48" s="3" t="str">
        <f>HYPERLINK("https://compensar-smartit.onbmc.com/smartit/app/#/workorder/IDGIBMZTENYZ6AT8P4BYT8P4BYYEEE","WO0000000312416")</f>
        <v>WO0000000312416</v>
      </c>
      <c r="C48" s="2" t="inlineStr">
        <is>
          <t>No</t>
        </is>
      </c>
      <c r="D48" s="2" t="inlineStr">
        <is>
          <t>Configuracion de pad de firmas</t>
        </is>
      </c>
      <c r="E48" s="2" t="inlineStr">
        <is>
          <t>En curso</t>
        </is>
      </c>
      <c r="F48" s="2" t="inlineStr">
        <is>
          <t>Usuario:YAMILAH ISABEL VALLEJO LAGOS
Informa:Configuracion de pad de firmas
Ubicación: auto sur 
NOTA:Colaboradora se encuentra lunes, miércoles, viernes
Tiempo:24-07-2026  6:47pm
Impacto: 1         
Evidencias: NO</t>
        </is>
      </c>
      <c r="G48" s="2" t="inlineStr">
        <is>
          <t>SERVICIOS DE TECNOLOGIA-ACOMPANAMIENTO-EJECUCION DE ACTIVIDADES EN SITIO</t>
        </is>
      </c>
      <c r="H48" s="2" t="inlineStr">
        <is>
          <t>Telefono</t>
        </is>
      </c>
      <c r="I48" s="2" t="inlineStr">
        <is>
          <t>Baja</t>
        </is>
      </c>
      <c r="J48" s="5">
        <v>46227.782638888886</v>
      </c>
      <c r="K48" s="2" t="inlineStr">
        <is>
          <t>MICHAEL STEVEN FRAILE GOMEZ</t>
        </is>
      </c>
      <c r="L48" s="2" t="inlineStr">
        <is>
          <t>SPT ZONA SURORIENTE</t>
        </is>
      </c>
      <c r="M48" s="2" t="inlineStr">
        <is>
          <t>SERVICIOS DE TI</t>
        </is>
      </c>
      <c r="N48" s="2"/>
      <c r="O48" s="2" t="inlineStr">
        <is>
          <t>SALUD</t>
        </is>
      </c>
      <c r="P48" s="2"/>
      <c r="Q48" s="2" t="inlineStr">
        <is>
          <t>IDGIBMZTENYZ6AT8P4BYT8P4BYYEEE</t>
        </is>
      </c>
      <c r="R48" s="2" t="inlineStr">
        <is>
          <t>a) 0-4</t>
        </is>
      </c>
      <c r="S48" s="4"/>
      <c r="T48" s="2"/>
      <c r="U48" s="2" t="inlineStr">
        <is>
          <t>-</t>
        </is>
      </c>
      <c r="V48" s="2" t="inlineStr">
        <is>
          <t>30/07/2026 08:00</t>
        </is>
      </c>
    </row>
    <row r="49">
      <c r="A49" s="2" t="inlineStr">
        <is>
          <t>🟢</t>
        </is>
      </c>
      <c r="B49" s="3" t="str">
        <f>HYPERLINK("https://compensar-smartit.onbmc.com/smartit/app/#/workorder/AGGIBMZTENYZ6AT8SGFBT8SGFBNF06","WO0000000312469")</f>
        <v>WO0000000312469</v>
      </c>
      <c r="C49" s="2" t="inlineStr">
        <is>
          <t>No</t>
        </is>
      </c>
      <c r="D49" s="2" t="inlineStr">
        <is>
          <t>Aplicación de Usuario Final</t>
        </is>
      </c>
      <c r="E49" s="2" t="inlineStr">
        <is>
          <t>En curso</t>
        </is>
      </c>
      <c r="F49" s="2" t="inlineStr">
        <is>
          <t>Ubicación para atención del Servicio: CUR TORRE BOLOS PISO S1 TAQUILLAS BOLOS
Número de contacto para la atención del servicio: 3112140579
Frente: BIENESTAR Y DESARROLLO SOCIAL
Titulo: FALLA EQUIPO - MEMORIA O ACCESO A INTERNET
Descripción: Buen día 
Muy buenos días 
REPORTAMOS FALLA EN EQUIPO PARA INGRESO a  equipo en piso 1 CUR PAI , no permite acceso por memoria llena  bloqueo en equipos para acceso piso 1 - y fallas en acceso a internet 
Muchas gracias
Tipo de Servicio: PARAMETRIZAR Y O CONFIGURAR APLICACION
Aplicación: INTERNET
Adjunto: [AGGIBMZTENYZ6AT8SGEZT8SGEZNFIP]
</t>
        </is>
      </c>
      <c r="G49" s="2" t="inlineStr">
        <is>
          <t>SERVICIOS DE TECNOLOGIA-GESTION DE APLICACIONES-PARAMETRIZAR Y O CONFIGURAR APLICACION</t>
        </is>
      </c>
      <c r="H49" s="2" t="inlineStr">
        <is>
          <t>Web</t>
        </is>
      </c>
      <c r="I49" s="2" t="inlineStr">
        <is>
          <t>Baja</t>
        </is>
      </c>
      <c r="J49" s="5">
        <v>46229.28333333333</v>
      </c>
      <c r="K49" s="2" t="inlineStr">
        <is>
          <t>KEVIN ALEXIS GARCIA GUARACA</t>
        </is>
      </c>
      <c r="L49" s="2" t="inlineStr">
        <is>
          <t>SPT ZONA CENTRO</t>
        </is>
      </c>
      <c r="M49" s="2" t="inlineStr">
        <is>
          <t>SERVICIOS DE TI</t>
        </is>
      </c>
      <c r="N49" s="2"/>
      <c r="O49" s="2" t="inlineStr">
        <is>
          <t>BIENESTAR Y DESARROLLO SOCIAL</t>
        </is>
      </c>
      <c r="P49" s="2"/>
      <c r="Q49" s="2" t="inlineStr">
        <is>
          <t>AGGIBMZTENYZ6AT8SGFBT8SGFBNF06</t>
        </is>
      </c>
      <c r="R49" s="2" t="inlineStr">
        <is>
          <t>a) 0-4</t>
        </is>
      </c>
      <c r="S49" s="4"/>
      <c r="T49" s="2" t="inlineStr">
        <is>
          <t>CAJA DE COMPENSACION</t>
        </is>
      </c>
      <c r="U49" s="2" t="inlineStr">
        <is>
          <t>-</t>
        </is>
      </c>
      <c r="V49" s="2" t="inlineStr">
        <is>
          <t>30/07/2026 08:00</t>
        </is>
      </c>
    </row>
    <row r="50">
      <c r="A50" s="2" t="inlineStr">
        <is>
          <t>🟢</t>
        </is>
      </c>
      <c r="B50" s="3" t="str">
        <f>HYPERLINK("https://compensar-smartit.onbmc.com/smartit/app/#/workorder/IDGEXM7CDZJ5AAT8UFFTT8UFFTQXEQ","WO0000000312546")</f>
        <v>WO0000000312546</v>
      </c>
      <c r="C50" s="2" t="inlineStr">
        <is>
          <t>No</t>
        </is>
      </c>
      <c r="D50" s="2" t="inlineStr">
        <is>
          <t>INSTALACION DE APLICATIVO DE FIRMA DE CONSENTIMIENTOS INFORMADOS</t>
        </is>
      </c>
      <c r="E50" s="2" t="inlineStr">
        <is>
          <t>Asignado</t>
        </is>
      </c>
      <c r="F50" s="2" t="inlineStr">
        <is>
          <t>Usuaria: Luz Esperanza Rincon Arias
Informa: Usuaria solicita la instalación del aplicativo de (FIRMA DE CONSENTIMIENTOS INFORMADOS) para el equipo de la sede (Autopista de Sur Consultorio 143).
Cedula: 1013647269
Celular: 3016706137
Ubicación: Desde casa
Numero de activo del equipo: EQUIPO DE ESCRITORIO
Impacto: EQUIPO DE ESCRITORIO (FIRMA DE CONSENTIMIENTOS INFORMADOS)</t>
        </is>
      </c>
      <c r="G50" s="2" t="inlineStr">
        <is>
          <t>SERVICIOS DE TECNOLOGIA-GESTION DE APLICACIONES-INSTALAR DESINSTALAR APLICACION</t>
        </is>
      </c>
      <c r="H50" s="2" t="inlineStr">
        <is>
          <t>Chat</t>
        </is>
      </c>
      <c r="I50" s="2" t="inlineStr">
        <is>
          <t>Baja</t>
        </is>
      </c>
      <c r="J50" s="5">
        <v>46230.353472222225</v>
      </c>
      <c r="K50" s="2" t="inlineStr">
        <is>
          <t>MICHAEL STEVEN FRAILE GOMEZ</t>
        </is>
      </c>
      <c r="L50" s="2" t="inlineStr">
        <is>
          <t>SPT ZONA SURORIENTE</t>
        </is>
      </c>
      <c r="M50" s="2" t="inlineStr">
        <is>
          <t>SERVICIOS DE TI</t>
        </is>
      </c>
      <c r="N50" s="2" t="inlineStr">
        <is>
          <t>SISTEMA OPERATIVO WINDOWS</t>
        </is>
      </c>
      <c r="O50" s="2" t="inlineStr">
        <is>
          <t>BIENESTAR Y DESARROLLO SOCIAL</t>
        </is>
      </c>
      <c r="P50" s="2"/>
      <c r="Q50" s="2" t="inlineStr">
        <is>
          <t>IDGEXM7CDZJ5AAT8UFFTT8UFFTQXEQ</t>
        </is>
      </c>
      <c r="R50" s="2" t="inlineStr">
        <is>
          <t>a) 0-4</t>
        </is>
      </c>
      <c r="S50" s="4"/>
      <c r="T50" s="2"/>
      <c r="U50" s="2" t="inlineStr">
        <is>
          <t>-</t>
        </is>
      </c>
      <c r="V50" s="2" t="inlineStr">
        <is>
          <t>30/07/2026 08:29</t>
        </is>
      </c>
    </row>
    <row r="51">
      <c r="A51" s="2" t="inlineStr">
        <is>
          <t>🟢</t>
        </is>
      </c>
      <c r="B51" s="3" t="str">
        <f>HYPERLINK("https://compensar-smartit.onbmc.com/smartit/app/#/workorder/AGGEXM7CDZJ5AAT8UFZ6T8UFZ6SD0B","WO0000000312553")</f>
        <v>WO0000000312553</v>
      </c>
      <c r="C51" s="2" t="inlineStr">
        <is>
          <t>No</t>
        </is>
      </c>
      <c r="D51" s="2" t="inlineStr">
        <is>
          <t>Acompañamiento y Configuración en Eventos</t>
        </is>
      </c>
      <c r="E51" s="2" t="inlineStr">
        <is>
          <t>En curso</t>
        </is>
      </c>
      <c r="F51" s="2" t="inlineStr">
        <is>
          <t>Ubicación para atención del Servicio: CSDE PISO 1 EDIFICIO CORRESPONDENCIA
Número de contacto para la atención del servicio: 3152951499
Frente: CENTRO DE SERVICIOS COMPARTIDOS
Titulo: limpieza pc C020265
Descripción: Buen día,
Solicito su apoyo para realizar actividades de mantenimiento preventivo en el equipo C020265, correspondiente a 1 de los 6 computadores asignados a la operación de la central de segurad.
Las actividades requeridas son:
Limpieza de archivos temporales del sistema operativo.
Eliminación de archivos temporales y caché de la aplicación CCURE.
Liberación de espacio en disco y validación del rendimiento general del equipo.
Revisión de posibles incidencias relacionadas con la ejecución de la aplicación.
El objetivo es optimizar el desempeño del equipo y garantizar la correcta operación de la plataforma CCURE.
Quedo atento a la programación de la actividad y a cualquier información adicional que se requiera.
Tipo de Servicio: ACOMPANAMIENTO TECNICO EVENTO
Nombre del evento: limpieza pc C020265
Vigencia del evento: DEFINIDO
Fecha inicio del evento: 2026-07-28
Fecha fin del evento: 2026-07-28
Descripción: Buen día,
Solicito su apoyo para realizar actividades de mantenimiento preventivo en el equipo C020265, correspondiente a 1 de los 6 computadores asignados a la operación de la central de segurad.
Las actividades requeridas son:
Limpieza de archivos temporales del sistema operativo.
Eliminación de archivos temporales y caché de la aplicación CCURE.
Liberación de espacio en disco y validación del rendimiento general del equipo.
Revisión de posibles incidencias relacionadas con la ejecución de la aplicación.
El objetivo es optimizar el desempeño del equipo y garantizar la correcta operación de la plataforma CCURE.
Quedo atento a la programación de la actividad y a cualquier información adicional que se requiera.
Información Importante: SI
</t>
        </is>
      </c>
      <c r="G51" s="2" t="inlineStr">
        <is>
          <t>SERVICIOS DE TECNOLOGIA-EVENTOS CORPORATIVOS VC-ACOMPANAMIENTO TECNICO EVENTO</t>
        </is>
      </c>
      <c r="H51" s="2" t="inlineStr">
        <is>
          <t>Web</t>
        </is>
      </c>
      <c r="I51" s="2" t="inlineStr">
        <is>
          <t>Baja</t>
        </is>
      </c>
      <c r="J51" s="5">
        <v>46230.36111111111</v>
      </c>
      <c r="K51" s="2" t="inlineStr">
        <is>
          <t>JUAN CAMILO RINCON BLANCO</t>
        </is>
      </c>
      <c r="L51" s="2" t="inlineStr">
        <is>
          <t>ZONA CENTRO</t>
        </is>
      </c>
      <c r="M51" s="2" t="inlineStr">
        <is>
          <t>SERVICIOS DE TI</t>
        </is>
      </c>
      <c r="N51" s="2"/>
      <c r="O51" s="2" t="inlineStr">
        <is>
          <t>CENTRO DE SERVICIOS COMPARTIDOS</t>
        </is>
      </c>
      <c r="P51" s="2"/>
      <c r="Q51" s="2" t="inlineStr">
        <is>
          <t>AGGEXM7CDZJ5AAT8UFZ6T8UFZ6SD0B</t>
        </is>
      </c>
      <c r="R51" s="2" t="inlineStr">
        <is>
          <t>a) 0-4</t>
        </is>
      </c>
      <c r="S51" s="4"/>
      <c r="T51" s="2" t="inlineStr">
        <is>
          <t>CAJA DE COMPENSACION</t>
        </is>
      </c>
      <c r="U51" s="2" t="inlineStr">
        <is>
          <t>-</t>
        </is>
      </c>
      <c r="V51" s="2" t="inlineStr">
        <is>
          <t>29/07/2026 10:40</t>
        </is>
      </c>
    </row>
    <row r="52">
      <c r="A52" s="2" t="inlineStr">
        <is>
          <t>🟢</t>
        </is>
      </c>
      <c r="B52" s="3" t="str">
        <f>HYPERLINK("https://compensar-smartit.onbmc.com/smartit/app/#/workorder/AGGEXM7CDZJ5AAT8UHXBT8UHXBVGEC","WO0000000312576")</f>
        <v>WO0000000312576</v>
      </c>
      <c r="C52" s="2" t="inlineStr">
        <is>
          <t>No</t>
        </is>
      </c>
      <c r="D52" s="2" t="inlineStr">
        <is>
          <t>Asesoría, Acompañamiento, Actividades en Sitio y Entrega de Informes</t>
        </is>
      </c>
      <c r="E52" s="2" t="inlineStr">
        <is>
          <t>Asignado</t>
        </is>
      </c>
      <c r="F52" s="2" t="inlineStr">
        <is>
          <t>Ubicación para atención del Servicio: CSDE TORRE A PISO 2 AREA COMUN
Número de contacto para la atención del servicio: 3044305307
Frente: CORPORATIVO
Titulo: Solicitud desinstalación faciltia e instalación GlobalProtect LYSALCEDOL
Descripción: Buen día:
Se requiere por favor contactar al usuario LIDA YESENIA SALCEDO LIZARAZO y hacer la desinstalación de Facilita VPN e instalar GlobalProtect Prisma Access. Por favor agendar a jcmarquezp@compensar.com de seguridad informática para hacer el acompañamiento respectivo.
Gracias.
Tipo de Servicio: ACOMPAÑAMIENTO / EJECUCION DE ACTIVIDAD EN SITIO
Grupo Requerido: SPT ZONA CENTRO
Fecha requerida para la actividad: 2026-07-28
Duración de la actividad en minutos: 60
</t>
        </is>
      </c>
      <c r="G52" s="2" t="inlineStr">
        <is>
          <t>SERVICIOS DE TECNOLOGIA-ASESORIA/ACOMPANAMIENTO/ACTIVIDADES-ACOMPAÑAMIENTO / EJECUCION DE ACTIVIDAD EN SITIO</t>
        </is>
      </c>
      <c r="H52" s="2" t="inlineStr">
        <is>
          <t>Web</t>
        </is>
      </c>
      <c r="I52" s="2" t="inlineStr">
        <is>
          <t>Baja</t>
        </is>
      </c>
      <c r="J52" s="5">
        <v>46230.39027777778</v>
      </c>
      <c r="K52" s="2" t="inlineStr">
        <is>
          <t>GERLYN RENTERIA OROZCO</t>
        </is>
      </c>
      <c r="L52" s="2" t="inlineStr">
        <is>
          <t>ZONA CENTRO</t>
        </is>
      </c>
      <c r="M52" s="2" t="inlineStr">
        <is>
          <t>SERVICIOS DE TI</t>
        </is>
      </c>
      <c r="N52" s="2"/>
      <c r="O52" s="2" t="inlineStr">
        <is>
          <t>CORPORATIVO</t>
        </is>
      </c>
      <c r="P52" s="2"/>
      <c r="Q52" s="2" t="inlineStr">
        <is>
          <t>AGGEXM7CDZJ5AAT8UHXBT8UHXBVGEC</t>
        </is>
      </c>
      <c r="R52" s="2" t="inlineStr">
        <is>
          <t>a) 0-4</t>
        </is>
      </c>
      <c r="S52" s="4"/>
      <c r="T52" s="2" t="inlineStr">
        <is>
          <t>CAJA DE COMPENSACION</t>
        </is>
      </c>
      <c r="U52" s="2" t="inlineStr">
        <is>
          <t>-</t>
        </is>
      </c>
      <c r="V52" s="2" t="inlineStr">
        <is>
          <t>29/07/2026 11:22</t>
        </is>
      </c>
    </row>
    <row r="53">
      <c r="A53" s="2" t="inlineStr">
        <is>
          <t>🟢</t>
        </is>
      </c>
      <c r="B53" s="3" t="str">
        <f>HYPERLINK("https://compensar-smartit.onbmc.com/smartit/app/#/workorder/AGGIBMZTENYZ6AT8UG3PT8UG3PH1W7","WO0000000312609")</f>
        <v>WO0000000312609</v>
      </c>
      <c r="C53" s="2" t="inlineStr">
        <is>
          <t>No</t>
        </is>
      </c>
      <c r="D53" s="2" t="inlineStr">
        <is>
          <t>Aplicación de Usuario Final</t>
        </is>
      </c>
      <c r="E53" s="2" t="inlineStr">
        <is>
          <t>En curso</t>
        </is>
      </c>
      <c r="F53" s="2" t="inlineStr">
        <is>
          <t>Ubicación para atención del Servicio: CSDE TORRE A PISO 3 DIRECCION DE CSC
Número de contacto para la atención del servicio: 3166292514
Frente: CENTRO DE SERVICIOS COMPARTIDOS
Titulo: Daño en teclado
Descripción: falla teclado alambrico
asignar a Juan rincon
Tipo de Servicio: INSTALAR DESINSTALAR APLICACION
Aplicación: CORREO ELECTRONICO
</t>
        </is>
      </c>
      <c r="G53" s="2" t="inlineStr">
        <is>
          <t>SERVICIOS DE TECNOLOGIA-GESTION DE APLICACIONES-INSTALAR DESINSTALAR APLICACION</t>
        </is>
      </c>
      <c r="H53" s="2" t="inlineStr">
        <is>
          <t>Web</t>
        </is>
      </c>
      <c r="I53" s="2" t="inlineStr">
        <is>
          <t>Baja</t>
        </is>
      </c>
      <c r="J53" s="5">
        <v>46230.36736111111</v>
      </c>
      <c r="K53" s="2" t="inlineStr">
        <is>
          <t>JUAN CAMILO RINCON BLANCO</t>
        </is>
      </c>
      <c r="L53" s="2" t="inlineStr">
        <is>
          <t>ZONA CENTRO</t>
        </is>
      </c>
      <c r="M53" s="2" t="inlineStr">
        <is>
          <t>SERVICIOS DE TI</t>
        </is>
      </c>
      <c r="N53" s="2"/>
      <c r="O53" s="2" t="inlineStr">
        <is>
          <t>CENTRO DE SERVICIOS COMPARTIDOS</t>
        </is>
      </c>
      <c r="P53" s="2"/>
      <c r="Q53" s="2" t="inlineStr">
        <is>
          <t>AGGIBMZTENYZ6AT8UG3PT8UG3PH1W7</t>
        </is>
      </c>
      <c r="R53" s="2" t="inlineStr">
        <is>
          <t>a) 0-4</t>
        </is>
      </c>
      <c r="S53" s="4"/>
      <c r="T53" s="2" t="inlineStr">
        <is>
          <t>CAJA DE COMPENSACION</t>
        </is>
      </c>
      <c r="U53" s="2" t="inlineStr">
        <is>
          <t>-</t>
        </is>
      </c>
      <c r="V53" s="2" t="inlineStr">
        <is>
          <t>30/07/2026 08:49</t>
        </is>
      </c>
    </row>
    <row r="54">
      <c r="A54" s="2" t="inlineStr">
        <is>
          <t>🟢</t>
        </is>
      </c>
      <c r="B54" s="3" t="str">
        <f>HYPERLINK("https://compensar-smartit.onbmc.com/smartit/app/#/workorder/AGGIBMZTENYZ6AT8UGRTT8UGRTI5IM","WO0000000312620")</f>
        <v>WO0000000312620</v>
      </c>
      <c r="C54" s="2" t="inlineStr">
        <is>
          <t>No</t>
        </is>
      </c>
      <c r="D54" s="2" t="inlineStr">
        <is>
          <t>Acompañamiento y Configuración en Eventos</t>
        </is>
      </c>
      <c r="E54" s="2" t="inlineStr">
        <is>
          <t>En curso</t>
        </is>
      </c>
      <c r="F54" s="2" t="inlineStr">
        <is>
          <t>Ubicación para atención del Servicio: CSDE PISO 1 EDIFICIO CORRESPONDENCIA
Número de contacto para la atención del servicio: 3152951499
Frente: CENTRO DE SERVICIOS COMPARTIDOS
Titulo: impieza pc C020269
Descripción: Buen día,
Solicito su apoyo para realizar actividades de mantenimiento preventivo en el equipo C020269  , correspondiente a 5 de los 6 computadores asignados a la operación.
Las actividades requeridas son:
Limpieza de archivos temporales del sistema operativo.
Eliminación de archivos temporales y caché de la aplicación CCURE.
Liberación de espacio en disco y validación del rendimiento general del equipo.
Revisión de posibles incidencias relacionadas con la ejecución de la aplicación.
El objetivo es optimizar el desempeño del equipo y garantizar la correcta operación de la plataforma CCURE.
Quedo atento a la programación de la actividad y a cualquier información adicional que se requiera.
Tipo de Servicio: ACOMPANAMIENTO TECNICO EVENTO
Nombre del evento: limpieza pc C020269
Vigencia del evento: DEFINIDO
Fecha inicio del evento: 2026-07-28
Fecha fin del evento: 2026-07-28
Descripción: Buen día,
Solicito su apoyo para realizar actividades de mantenimiento preventivo en el equipo C020269  , correspondiente a 5 de los 6 computadores asignados a la operación.
Las actividades requeridas son:
Limpieza de archivos temporales del sistema operativo.
Eliminación de archivos temporales y caché de la aplicación CCURE.
Liberación de espacio en disco y validación del rendimiento general del equipo.
Revisión de posibles incidencias relacionadas con la ejecución de la aplicación.
El objetivo es optimizar el desempeño del equipo y garantizar la correcta operación de la plataforma CCURE.
Quedo atento a la programación de la actividad y a cualquier información adicional que se requiera.
Información Importante: SI
</t>
        </is>
      </c>
      <c r="G54" s="2" t="inlineStr">
        <is>
          <t>SERVICIOS DE TECNOLOGIA-EVENTOS CORPORATIVOS VC-ACOMPANAMIENTO TECNICO EVENTO</t>
        </is>
      </c>
      <c r="H54" s="2" t="inlineStr">
        <is>
          <t>Web</t>
        </is>
      </c>
      <c r="I54" s="2" t="inlineStr">
        <is>
          <t>Baja</t>
        </is>
      </c>
      <c r="J54" s="5">
        <v>46230.37291666667</v>
      </c>
      <c r="K54" s="2" t="inlineStr">
        <is>
          <t>JUAN CAMILO RINCON BLANCO</t>
        </is>
      </c>
      <c r="L54" s="2" t="inlineStr">
        <is>
          <t>ZONA CENTRO</t>
        </is>
      </c>
      <c r="M54" s="2" t="inlineStr">
        <is>
          <t>SERVICIOS DE TI</t>
        </is>
      </c>
      <c r="N54" s="2"/>
      <c r="O54" s="2" t="inlineStr">
        <is>
          <t>CENTRO DE SERVICIOS COMPARTIDOS</t>
        </is>
      </c>
      <c r="P54" s="2"/>
      <c r="Q54" s="2" t="inlineStr">
        <is>
          <t>AGGIBMZTENYZ6AT8UGRTT8UGRTI5IM</t>
        </is>
      </c>
      <c r="R54" s="2" t="inlineStr">
        <is>
          <t>a) 0-4</t>
        </is>
      </c>
      <c r="S54" s="4"/>
      <c r="T54" s="2" t="inlineStr">
        <is>
          <t>CAJA DE COMPENSACION</t>
        </is>
      </c>
      <c r="U54" s="2" t="inlineStr">
        <is>
          <t>-</t>
        </is>
      </c>
      <c r="V54" s="2" t="inlineStr">
        <is>
          <t>29/07/2026 10:57</t>
        </is>
      </c>
    </row>
    <row r="55">
      <c r="A55" s="2" t="inlineStr">
        <is>
          <t>🟢</t>
        </is>
      </c>
      <c r="B55" s="3" t="str">
        <f>HYPERLINK("https://compensar-smartit.onbmc.com/smartit/app/#/workorder/IDGIBMZTENYZ6AT8U0FBT8U0FB5PTN","WO0000000312652")</f>
        <v>WO0000000312652</v>
      </c>
      <c r="C55" s="2" t="inlineStr">
        <is>
          <t>No</t>
        </is>
      </c>
      <c r="D55" s="2" t="inlineStr">
        <is>
          <t>Envio/instalación TECLADO ALAMBRICO DELL OPTIPLEX 3070 MICRO XCTO M2 activo 910500003524</t>
        </is>
      </c>
      <c r="E55" s="2" t="inlineStr">
        <is>
          <t>En curso</t>
        </is>
      </c>
      <c r="F55" s="2" t="inlineStr">
        <is>
          <t>Ubicación para atención del Servicio: CUR PISO 2 OFICINA DEPORTES RED
Número de contacto para la atención del servicio: 3123070819
Frente: BIENESTAR Y DESARROLLO SOCIAL
Falla: NO ENCIENDE/NO FUNCIONA
¿Cual es el dispositivo que presenta la falla?: [TECLADO]
Nombre de equipo (inventario o placa): 910500003524
Descripción del incidente o falla: Buenos días, el teclado no funciona</t>
        </is>
      </c>
      <c r="G55" s="2" t="inlineStr">
        <is>
          <t>SERVICIOS DE TECNOLOGIA-ACTIVOS FIJOS TECNOLOGIA-ADQUISICION PARTES SIN GARANTIA</t>
        </is>
      </c>
      <c r="H55" s="2" t="inlineStr">
        <is>
          <t>Web</t>
        </is>
      </c>
      <c r="I55" s="2" t="inlineStr">
        <is>
          <t>Baja</t>
        </is>
      </c>
      <c r="J55" s="5">
        <v>46230.425</v>
      </c>
      <c r="K55" s="2" t="inlineStr">
        <is>
          <t>ANDERSON JULIAN RATIVA RAMIREZ</t>
        </is>
      </c>
      <c r="L55" s="2" t="inlineStr">
        <is>
          <t>ZONA CENTRO</t>
        </is>
      </c>
      <c r="M55" s="2" t="inlineStr">
        <is>
          <t>SERVICIOS DE TI</t>
        </is>
      </c>
      <c r="N55" s="2"/>
      <c r="O55" s="2" t="inlineStr">
        <is>
          <t>BIENESTAR Y DESARROLLO SOCIAL</t>
        </is>
      </c>
      <c r="P55" s="2"/>
      <c r="Q55" s="2" t="inlineStr">
        <is>
          <t>IDGIBMZTENYZ6AT8U0FBT8U0FB5PTN</t>
        </is>
      </c>
      <c r="R55" s="2" t="inlineStr">
        <is>
          <t>a) 0-4</t>
        </is>
      </c>
      <c r="S55" s="4"/>
      <c r="T55" s="2"/>
      <c r="U55" s="2" t="inlineStr">
        <is>
          <t>-</t>
        </is>
      </c>
      <c r="V55" s="2" t="inlineStr">
        <is>
          <t>26/08/2026 10:12</t>
        </is>
      </c>
    </row>
    <row r="56">
      <c r="A56" s="2" t="inlineStr">
        <is>
          <t>🟢</t>
        </is>
      </c>
      <c r="B56" s="3" t="str">
        <f>HYPERLINK("https://compensar-smartit.onbmc.com/smartit/app/#/workorder/IDGIBMZTENYZ6AT8U1QNT8U1QN82MP","WO0000000312668")</f>
        <v>WO0000000312668</v>
      </c>
      <c r="C56" s="2" t="inlineStr">
        <is>
          <t>No</t>
        </is>
      </c>
      <c r="D56" s="2" t="inlineStr">
        <is>
          <t>Instalacion Onbase Aplicación de Usuario Final</t>
        </is>
      </c>
      <c r="E56" s="2" t="inlineStr">
        <is>
          <t>En curso</t>
        </is>
      </c>
      <c r="F56" s="2" t="inlineStr">
        <is>
          <t>Ubicación para atención del Servicio: BLOQUE G TORRE G PISO 1 ARCHIVO DE GARANTIAS
Número de contacto para la atención del servicio: 3005931771
Frente: CENTRO DE SERVICIOS COMPARTIDOS
Titulo: solicitud de instalación del aplicativo Onbase Unity
Descripción: solicitud de instalación del aplicativo Onbase Unity en los siguientes computadores ubicados en sede, quedamos atentos si requieres algo adicional.
CONTACTO EN SITIO Erika Liliana Sandoval Tel 3005931771
Numero de computador	Onbase instalado
152800003658	Sin Onbase
Tipo de Servicio: INSTALAR DESINSTALAR APLICACION
Aplicación: SWEX41-ONBASE</t>
        </is>
      </c>
      <c r="G56" s="2" t="inlineStr">
        <is>
          <t>SERVICIOS DE TECNOLOGIA-GESTION DE APLICACIONES-INSTALAR DESINSTALAR APLICACION</t>
        </is>
      </c>
      <c r="H56" s="2" t="inlineStr">
        <is>
          <t>Web</t>
        </is>
      </c>
      <c r="I56" s="2" t="inlineStr">
        <is>
          <t>Baja</t>
        </is>
      </c>
      <c r="J56" s="5">
        <v>46230.44861111111</v>
      </c>
      <c r="K56" s="2" t="inlineStr">
        <is>
          <t>GERLYN RENTERIA OROZCO</t>
        </is>
      </c>
      <c r="L56" s="2" t="inlineStr">
        <is>
          <t>ZONA CENTRO</t>
        </is>
      </c>
      <c r="M56" s="2" t="inlineStr">
        <is>
          <t>SERVICIOS DE TI</t>
        </is>
      </c>
      <c r="N56" s="2"/>
      <c r="O56" s="2" t="inlineStr">
        <is>
          <t>BIENESTAR Y DESARROLLO SOCIAL</t>
        </is>
      </c>
      <c r="P56" s="2"/>
      <c r="Q56" s="2" t="inlineStr">
        <is>
          <t>IDGIBMZTENYZ6AT8U1QNT8U1QN82MP</t>
        </is>
      </c>
      <c r="R56" s="2" t="inlineStr">
        <is>
          <t>a) 0-4</t>
        </is>
      </c>
      <c r="S56" s="4"/>
      <c r="T56" s="2" t="inlineStr">
        <is>
          <t>CAJA DE COMPENSACION</t>
        </is>
      </c>
      <c r="U56" s="2" t="inlineStr">
        <is>
          <t>-</t>
        </is>
      </c>
      <c r="V56" s="2" t="inlineStr">
        <is>
          <t>30/07/2026 10:46</t>
        </is>
      </c>
    </row>
    <row r="57">
      <c r="A57" s="2" t="inlineStr">
        <is>
          <t>🟢</t>
        </is>
      </c>
      <c r="B57" s="3" t="str">
        <f>HYPERLINK("https://compensar-smartit.onbmc.com/smartit/app/#/workorder/IDGIBMZTENYZ6AT8U1VDT8U1VD86L0","WO0000000312669")</f>
        <v>WO0000000312669</v>
      </c>
      <c r="C57" s="2" t="inlineStr">
        <is>
          <t>No</t>
        </is>
      </c>
      <c r="D57" s="2" t="inlineStr">
        <is>
          <t>Instalacion Onbase Aplicación de Usuario Final</t>
        </is>
      </c>
      <c r="E57" s="2" t="inlineStr">
        <is>
          <t>En curso</t>
        </is>
      </c>
      <c r="F57" s="2" t="inlineStr">
        <is>
          <t>Ubicación para atención del Servicio: BLOQUE G TORRE G PISO 1 ARCHIVO DE GARANTIAS
Número de contacto para la atención del servicio: 3005931771
Frente: CENTRO DE SERVICIOS COMPARTIDOS
Titulo: solicitud de instalación del aplicativo Onbase Unity
Descripción: solicitud de instalación del aplicativo Onbase Unity en los siguientes computadores ubicados en sede, quedamos atentos si requieres algo adicional.
CONTACTO EN SITIO Erika Liliana Sandoval Tel 3005931771
Numero de computador	Onbase instalado
C176653	Sin Onbase
Tipo de Servicio: INSTALAR DESINSTALAR APLICACION
Aplicación: SWEX41-ONBASE</t>
        </is>
      </c>
      <c r="G57" s="2" t="inlineStr">
        <is>
          <t>SERVICIOS DE TECNOLOGIA-GESTION DE APLICACIONES-INSTALAR DESINSTALAR APLICACION</t>
        </is>
      </c>
      <c r="H57" s="2" t="inlineStr">
        <is>
          <t>Web</t>
        </is>
      </c>
      <c r="I57" s="2" t="inlineStr">
        <is>
          <t>Baja</t>
        </is>
      </c>
      <c r="J57" s="5">
        <v>46230.45</v>
      </c>
      <c r="K57" s="2" t="inlineStr">
        <is>
          <t>GERLYN RENTERIA OROZCO</t>
        </is>
      </c>
      <c r="L57" s="2" t="inlineStr">
        <is>
          <t>ZONA CENTRO</t>
        </is>
      </c>
      <c r="M57" s="2" t="inlineStr">
        <is>
          <t>SERVICIOS DE TI</t>
        </is>
      </c>
      <c r="N57" s="2"/>
      <c r="O57" s="2" t="inlineStr">
        <is>
          <t>BIENESTAR Y DESARROLLO SOCIAL</t>
        </is>
      </c>
      <c r="P57" s="2"/>
      <c r="Q57" s="2" t="inlineStr">
        <is>
          <t>IDGIBMZTENYZ6AT8U1VDT8U1VD86L0</t>
        </is>
      </c>
      <c r="R57" s="2" t="inlineStr">
        <is>
          <t>a) 0-4</t>
        </is>
      </c>
      <c r="S57" s="4"/>
      <c r="T57" s="2" t="inlineStr">
        <is>
          <t>CAJA DE COMPENSACION</t>
        </is>
      </c>
      <c r="U57" s="2" t="inlineStr">
        <is>
          <t>-</t>
        </is>
      </c>
      <c r="V57" s="2" t="inlineStr">
        <is>
          <t>30/07/2026 10:48</t>
        </is>
      </c>
    </row>
    <row r="58">
      <c r="A58" s="2" t="inlineStr">
        <is>
          <t>🟢</t>
        </is>
      </c>
      <c r="B58" s="3" t="str">
        <f>HYPERLINK("https://compensar-smartit.onbmc.com/smartit/app/#/workorder/IDGIBMZTENYZ6AT8U2SMT8U2SM9PY7","WO0000000312680")</f>
        <v>WO0000000312680</v>
      </c>
      <c r="C58" s="2" t="inlineStr">
        <is>
          <t>No</t>
        </is>
      </c>
      <c r="D58" s="2" t="inlineStr">
        <is>
          <t>Solicitud de instalación de SOPRO</t>
        </is>
      </c>
      <c r="E58" s="2" t="inlineStr">
        <is>
          <t>En curso</t>
        </is>
      </c>
      <c r="F58" s="2" t="inlineStr">
        <is>
          <t>Usuario: Lady Karina Abril Jimenez
Teléfono: 3125927504
CC: 52522663
Informa: La usuaria se comunica con la Mesa de Servicio indicando que requiere la instalación del aplicativo SOPRO.
Ubicación: Movilidad
Tiempo: No especificado
Evidencias:
1. Se validó la solicitud de instalación del aplicativo SOPRO.
2. Se identificó que la instalación debe realizarse dentro de un escritorio virtual.
3. Se escaló el caso para la respectiva validación.</t>
        </is>
      </c>
      <c r="G58" s="2" t="inlineStr">
        <is>
          <t>SERVICIOS DE TECNOLOGIA-AMBIENTES NO PROD-INSTALACION APP</t>
        </is>
      </c>
      <c r="H58" s="2" t="inlineStr">
        <is>
          <t>Telefono</t>
        </is>
      </c>
      <c r="I58" s="2" t="inlineStr">
        <is>
          <t>Baja</t>
        </is>
      </c>
      <c r="J58" s="5">
        <v>46230.464583333334</v>
      </c>
      <c r="K58" s="2" t="inlineStr">
        <is>
          <t>JULIAN HUMBERTO MOLINA BERNAL</t>
        </is>
      </c>
      <c r="L58" s="2" t="inlineStr">
        <is>
          <t>SPT ESCRITORIO VIRTUAL</t>
        </is>
      </c>
      <c r="M58" s="2" t="inlineStr">
        <is>
          <t>SERVICIOS DE TI</t>
        </is>
      </c>
      <c r="N58" s="2"/>
      <c r="O58" s="2" t="inlineStr">
        <is>
          <t>SALUD</t>
        </is>
      </c>
      <c r="P58" s="2" t="inlineStr">
        <is>
          <t>SOLUCION DEFINITIVA</t>
        </is>
      </c>
      <c r="Q58" s="2" t="inlineStr">
        <is>
          <t>IDGIBMZTENYZ6AT8U2SMT8U2SM9PY7</t>
        </is>
      </c>
      <c r="R58" s="2" t="inlineStr">
        <is>
          <t>a) 0-4</t>
        </is>
      </c>
      <c r="S58" s="4"/>
      <c r="T58" s="2"/>
      <c r="U58" s="2" t="inlineStr">
        <is>
          <t>-</t>
        </is>
      </c>
      <c r="V58" s="2" t="inlineStr">
        <is>
          <t>30/07/2026 11:09</t>
        </is>
      </c>
    </row>
    <row r="59">
      <c r="A59" s="2" t="inlineStr">
        <is>
          <t>🟢</t>
        </is>
      </c>
      <c r="B59" s="3" t="str">
        <f>HYPERLINK("https://compensar-smartit.onbmc.com/smartit/app/#/workorder/AGGIBMZTENYZ6AT8U3WJT8U3WJLWNT","WO0000000312692")</f>
        <v>WO0000000312692</v>
      </c>
      <c r="C59" s="2" t="inlineStr">
        <is>
          <t>No</t>
        </is>
      </c>
      <c r="D59" s="2" t="inlineStr">
        <is>
          <t>Asesoría, Acompañamiento, Actividades en Sitio y Entrega de Informes</t>
        </is>
      </c>
      <c r="E59" s="2" t="inlineStr">
        <is>
          <t>En curso</t>
        </is>
      </c>
      <c r="F59" s="2" t="inlineStr">
        <is>
          <t>Ubicación para atención del Servicio: CRA 69 B TORRE B PISO 4 SALA SIN ASIGNAR
Número de contacto para la atención del servicio: 3107940266
Frente: SALUD
Titulo: Acompañamiento en apoyo permiso administrador
Descripción: Se necesita el acompañamiento el día 24 de julio 2-3 pm. en la instalación de aplicación masiva de ROCHE a colaboradores del proceso de laboratorio clínico.
Es necesario que quien acompañe tenga permisos de administrador, agradecemos por favor se asigne al ingeniero: IVAN FELIPE GARCIA MANRIQUE.
Se comparte link de sesión:
Tipo de Servicio: EJECUCION DE ACTIVIDADES EN SITIO
Subcategoría: EJECUCION DE ACTIVIDADES
Grupo Requerido: SPT CABECERA CARRERA 69
Fecha requerida para la actividad: 2026-07-29
Duración de la actividad en minutos: do horas
Adjunto: [AGGEXM7CDZJ5AAT8U3PNT8U3PNFAHD]
</t>
        </is>
      </c>
      <c r="G59" s="2" t="inlineStr">
        <is>
          <t>SERVICIOS DE TECNOLOGIA-ACOMPANAMIENTO-EJECUCION DE ACTIVIDADES EN SITIO</t>
        </is>
      </c>
      <c r="H59" s="2" t="inlineStr">
        <is>
          <t>Web</t>
        </is>
      </c>
      <c r="I59" s="2" t="inlineStr">
        <is>
          <t>Baja</t>
        </is>
      </c>
      <c r="J59" s="5">
        <v>46230.47986111111</v>
      </c>
      <c r="K59" s="2" t="inlineStr">
        <is>
          <t>IVAN FELIPE GARCIA MANRIQUE</t>
        </is>
      </c>
      <c r="L59" s="2" t="inlineStr">
        <is>
          <t>SPT CABECERA CARRERA 69</t>
        </is>
      </c>
      <c r="M59" s="2" t="inlineStr">
        <is>
          <t>SERVICIOS DE TI</t>
        </is>
      </c>
      <c r="N59" s="2"/>
      <c r="O59" s="2" t="inlineStr">
        <is>
          <t>SALUD</t>
        </is>
      </c>
      <c r="P59" s="2"/>
      <c r="Q59" s="2" t="inlineStr">
        <is>
          <t>AGGIBMZTENYZ6AT8U3WJT8U3WJLWNT</t>
        </is>
      </c>
      <c r="R59" s="2" t="inlineStr">
        <is>
          <t>a) 0-4</t>
        </is>
      </c>
      <c r="S59" s="4"/>
      <c r="T59" s="2" t="inlineStr">
        <is>
          <t>SALUD</t>
        </is>
      </c>
      <c r="U59" s="2" t="inlineStr">
        <is>
          <t>-</t>
        </is>
      </c>
      <c r="V59" s="2" t="inlineStr">
        <is>
          <t>30/07/2026 11:31</t>
        </is>
      </c>
    </row>
    <row r="60">
      <c r="A60" s="2" t="inlineStr">
        <is>
          <t>🟢</t>
        </is>
      </c>
      <c r="B60" s="3" t="str">
        <f>HYPERLINK("https://compensar-smartit.onbmc.com/smartit/app/#/workorder/IDGEXM7CDZJ5AAT8U0Q1T8U0Q1ZPRR","WO0000000312718")</f>
        <v>WO0000000312718</v>
      </c>
      <c r="C60" s="2" t="inlineStr">
        <is>
          <t>No</t>
        </is>
      </c>
      <c r="D60" s="2" t="inlineStr">
        <is>
          <t>Cambio MOUSE ALAMBRICO DELL OPTIPLEX 3050 MICRO WIN 7 activo 176593</t>
        </is>
      </c>
      <c r="E60" s="2" t="inlineStr">
        <is>
          <t>En curso</t>
        </is>
      </c>
      <c r="F60" s="2" t="inlineStr">
        <is>
          <t>Buen día;
Se genera caso por trámite de garantía por daño en Mouse, según caso: INC000000153065 y se crea caso en CDI 29731.
Nombre: YESSICA MELISSA SANCHEZ LIZARAZO
Equipo: C176593, Teléfono: 3163836861
Ubicación: Kennedy, Bloque A, Mezzanine Caja.</t>
        </is>
      </c>
      <c r="G60" s="2" t="inlineStr">
        <is>
          <t>SERVICIOS DE TECNOLOGIA-ACTIVOS FIJOS TECNOLOGIA-ADQUISICION PARTES SIN GARANTIA</t>
        </is>
      </c>
      <c r="H60" s="2" t="inlineStr">
        <is>
          <t>Web</t>
        </is>
      </c>
      <c r="I60" s="2" t="inlineStr">
        <is>
          <t>Baja</t>
        </is>
      </c>
      <c r="J60" s="5">
        <v>46230.43680555555</v>
      </c>
      <c r="K60" s="2" t="inlineStr">
        <is>
          <t>ALLISSON MAURICIO MORENO PABON</t>
        </is>
      </c>
      <c r="L60" s="2" t="inlineStr">
        <is>
          <t>ZONA OCCIDENTE</t>
        </is>
      </c>
      <c r="M60" s="2" t="inlineStr">
        <is>
          <t>SERVICIOS DE TI</t>
        </is>
      </c>
      <c r="N60" s="2"/>
      <c r="O60" s="2" t="inlineStr">
        <is>
          <t>BIENESTAR Y DESARROLLO SOCIAL</t>
        </is>
      </c>
      <c r="P60" s="2"/>
      <c r="Q60" s="2" t="inlineStr">
        <is>
          <t>IDGEXM7CDZJ5AAT8U0Q1T8U0Q1ZPRR</t>
        </is>
      </c>
      <c r="R60" s="2" t="inlineStr">
        <is>
          <t>a) 0-4</t>
        </is>
      </c>
      <c r="S60" s="4"/>
      <c r="T60" s="2"/>
      <c r="U60" s="2" t="inlineStr">
        <is>
          <t>-</t>
        </is>
      </c>
      <c r="V60" s="2" t="inlineStr">
        <is>
          <t>26/08/2026 10:29</t>
        </is>
      </c>
    </row>
    <row r="61">
      <c r="A61" s="2" t="inlineStr">
        <is>
          <t>🟢</t>
        </is>
      </c>
      <c r="B61" s="3" t="str">
        <f>HYPERLINK("https://compensar-smartit.onbmc.com/smartit/app/#/workorder/AGGEXM7CDZJ5AAT8U1J7T8U1J7AOHG","WO0000000312729")</f>
        <v>WO0000000312729</v>
      </c>
      <c r="C61" s="2" t="inlineStr">
        <is>
          <t>No</t>
        </is>
      </c>
      <c r="D61" s="2" t="inlineStr">
        <is>
          <t>Acompañamiento - Sala Calle 94</t>
        </is>
      </c>
      <c r="E61" s="2" t="inlineStr">
        <is>
          <t>En curso</t>
        </is>
      </c>
      <c r="F61" s="2" t="inlineStr">
        <is>
          <t>Ubicación para atención del Servicio: C94 TORRE A PISO 4 SALA DE INTERNET
Número de contacto para la atención del servicio: DIEGO LANCHEROS - 3013842182
Frente: BIENESTAR Y DESARROLLO SOCIAL
Titulo: Actualizacion tecnologica de equipos
Descripción: Buen día. En revisión con el equipo de tecnologia nos indican que los computadores de la sala de sistemas de la sede calle 94 ubicada en el piso 4 requieren de renovación tecnologica, por lo que se solicita lo siguiente:
Windows 11.
Microsoft Office 2016.
Power BI (versión de Microsoft Store).
Habilitación de los puertos USB, una vez se haya instalado el antivirus.
Debe quedar con la siguiente clave de acceso: COMPENSAR2026*
Tipo de Servicio: PARAMETRIZAR Y O CONFIGURAR APLICACION
Aplicación: CORREO ELECTRONICO
Adjunto: [AGGEXM7CDZJ5AAT8U1JGT8U1JGANKA]
</t>
        </is>
      </c>
      <c r="G61" s="2" t="inlineStr">
        <is>
          <t>SERVICIOS DE TECNOLOGIA-GESTION DE APLICACIONES-PARAMETRIZAR Y O CONFIGURAR APLICACION</t>
        </is>
      </c>
      <c r="H61" s="2" t="inlineStr">
        <is>
          <t>Web</t>
        </is>
      </c>
      <c r="I61" s="2" t="inlineStr">
        <is>
          <t>Baja</t>
        </is>
      </c>
      <c r="J61" s="5">
        <v>46230.44027777778</v>
      </c>
      <c r="K61" s="2" t="inlineStr">
        <is>
          <t>MARIA FERNANDA PEREIRA BUENO</t>
        </is>
      </c>
      <c r="L61" s="2" t="inlineStr">
        <is>
          <t>SPT CABECERA CALLE 94</t>
        </is>
      </c>
      <c r="M61" s="2" t="inlineStr">
        <is>
          <t>SERVICIOS DE TI</t>
        </is>
      </c>
      <c r="N61" s="2"/>
      <c r="O61" s="2" t="inlineStr">
        <is>
          <t>BIENESTAR Y DESARROLLO SOCIAL</t>
        </is>
      </c>
      <c r="P61" s="2"/>
      <c r="Q61" s="2" t="inlineStr">
        <is>
          <t>AGGEXM7CDZJ5AAT8U1J7T8U1J7AOHG</t>
        </is>
      </c>
      <c r="R61" s="2" t="inlineStr">
        <is>
          <t>a) 0-4</t>
        </is>
      </c>
      <c r="S61" s="4"/>
      <c r="T61" s="2" t="inlineStr">
        <is>
          <t>CAJA DE COMPENSACION</t>
        </is>
      </c>
      <c r="U61" s="2" t="inlineStr">
        <is>
          <t>-</t>
        </is>
      </c>
      <c r="V61" s="2" t="inlineStr">
        <is>
          <t>30/07/2026 10:34</t>
        </is>
      </c>
    </row>
    <row r="62">
      <c r="A62" s="2" t="inlineStr">
        <is>
          <t>🟢</t>
        </is>
      </c>
      <c r="B62" s="3" t="str">
        <f>HYPERLINK("https://compensar-smartit.onbmc.com/smartit/app/#/workorder/IDGEXM7CDZJ5AAT8U1NWT8U1NWB4K3","WO0000000312738")</f>
        <v>WO0000000312738</v>
      </c>
      <c r="C62" s="2" t="inlineStr">
        <is>
          <t>No</t>
        </is>
      </c>
      <c r="D62" s="2" t="inlineStr">
        <is>
          <t>Instalacion Onbase Aplicación de Usuario Final</t>
        </is>
      </c>
      <c r="E62" s="2" t="inlineStr">
        <is>
          <t>En curso</t>
        </is>
      </c>
      <c r="F62" s="2" t="inlineStr">
        <is>
          <t>Ubicación para atención del Servicio: BLOQUE G TORRE G PISO 1 ARCHIVO DE GARANTIAS
Número de contacto para la atención del servicio: 3005931771
Frente: CENTRO DE SERVICIOS COMPARTIDOS
Titulo: solicitud de instalación del aplicativo Onbase Unity
Descripción: solicitud de instalación del aplicativo Onbase Unity en los siguientes computadores ubicados en sede, quedamos atentos si requieres algo adicional.
CONTACTO EN SITIO Erika Liliana Sandoval Tel 3005931771
Numero de computador	Onbase instalado
910500003366	Sin Onbase
Tipo de Servicio: INSTALAR DESINSTALAR APLICACION
Aplicación: SWEX41-ONBASE</t>
        </is>
      </c>
      <c r="G62" s="2" t="inlineStr">
        <is>
          <t>SERVICIOS DE TECNOLOGIA-GESTION DE APLICACIONES-INSTALAR DESINSTALAR APLICACION</t>
        </is>
      </c>
      <c r="H62" s="2" t="inlineStr">
        <is>
          <t>Web</t>
        </is>
      </c>
      <c r="I62" s="2" t="inlineStr">
        <is>
          <t>Baja</t>
        </is>
      </c>
      <c r="J62" s="5">
        <v>46230.447222222225</v>
      </c>
      <c r="K62" s="2" t="inlineStr">
        <is>
          <t>GERLYN RENTERIA OROZCO</t>
        </is>
      </c>
      <c r="L62" s="2" t="inlineStr">
        <is>
          <t>ZONA CENTRO</t>
        </is>
      </c>
      <c r="M62" s="2" t="inlineStr">
        <is>
          <t>SERVICIOS DE TI</t>
        </is>
      </c>
      <c r="N62" s="2" t="inlineStr">
        <is>
          <t>C003366</t>
        </is>
      </c>
      <c r="O62" s="2" t="inlineStr">
        <is>
          <t>BIENESTAR Y DESARROLLO SOCIAL</t>
        </is>
      </c>
      <c r="P62" s="2"/>
      <c r="Q62" s="2" t="inlineStr">
        <is>
          <t>IDGEXM7CDZJ5AAT8U1NWT8U1NWB4K3</t>
        </is>
      </c>
      <c r="R62" s="2" t="inlineStr">
        <is>
          <t>a) 0-4</t>
        </is>
      </c>
      <c r="S62" s="4"/>
      <c r="T62" s="2" t="inlineStr">
        <is>
          <t>CAJA DE COMPENSACION</t>
        </is>
      </c>
      <c r="U62" s="2" t="inlineStr">
        <is>
          <t>-</t>
        </is>
      </c>
      <c r="V62" s="2" t="inlineStr">
        <is>
          <t>30/07/2026 10:44</t>
        </is>
      </c>
    </row>
    <row r="63">
      <c r="A63" s="2" t="inlineStr">
        <is>
          <t>🟢</t>
        </is>
      </c>
      <c r="B63" s="3" t="str">
        <f>HYPERLINK("https://compensar-smartit.onbmc.com/smartit/app/#/workorder/IDGEXM7CDZJ5AAT8U1YYT8U1YYCDU8","WO0000000312745")</f>
        <v>WO0000000312745</v>
      </c>
      <c r="C63" s="2" t="inlineStr">
        <is>
          <t>No</t>
        </is>
      </c>
      <c r="D63" s="2" t="inlineStr">
        <is>
          <t>Instalacion Onbase Aplicación de Usuario Final</t>
        </is>
      </c>
      <c r="E63" s="2" t="inlineStr">
        <is>
          <t>En curso</t>
        </is>
      </c>
      <c r="F63" s="2" t="inlineStr">
        <is>
          <t>Ubicación para atención del Servicio: BLOQUE G TORRE G PISO 1 ARCHIVO DE GARANTIAS
Número de contacto para la atención del servicio: 3005931771
Frente: CENTRO DE SERVICIOS COMPARTIDOS
Titulo: solicitud de instalación del aplicativo Onbase Unity
Descripción: solicitud de instalación del aplicativo Onbase Unity en los siguientes computadores ubicados en sede, quedamos atentos si requieres algo adicional.
CONTACTO EN SITIO Erika Liliana Sandoval Tel 3005931771
Numero de computador	Onbase instalado
152800003634	Sin Onbase
Tipo de Servicio: INSTALAR DESINSTALAR APLICACION
Aplicación: SWEX41-ONBASE</t>
        </is>
      </c>
      <c r="G63" s="2" t="inlineStr">
        <is>
          <t>SERVICIOS DE TECNOLOGIA-GESTION DE APLICACIONES-INSTALAR DESINSTALAR APLICACION</t>
        </is>
      </c>
      <c r="H63" s="2" t="inlineStr">
        <is>
          <t>Web</t>
        </is>
      </c>
      <c r="I63" s="2" t="inlineStr">
        <is>
          <t>Baja</t>
        </is>
      </c>
      <c r="J63" s="5">
        <v>46230.45138888889</v>
      </c>
      <c r="K63" s="2" t="inlineStr">
        <is>
          <t>GERLYN RENTERIA OROZCO</t>
        </is>
      </c>
      <c r="L63" s="2" t="inlineStr">
        <is>
          <t>ZONA CENTRO</t>
        </is>
      </c>
      <c r="M63" s="2" t="inlineStr">
        <is>
          <t>SERVICIOS DE TI</t>
        </is>
      </c>
      <c r="N63" s="2"/>
      <c r="O63" s="2" t="inlineStr">
        <is>
          <t>BIENESTAR Y DESARROLLO SOCIAL</t>
        </is>
      </c>
      <c r="P63" s="2"/>
      <c r="Q63" s="2" t="inlineStr">
        <is>
          <t>IDGEXM7CDZJ5AAT8U1YYT8U1YYCDU8</t>
        </is>
      </c>
      <c r="R63" s="2" t="inlineStr">
        <is>
          <t>a) 0-4</t>
        </is>
      </c>
      <c r="S63" s="4"/>
      <c r="T63" s="2" t="inlineStr">
        <is>
          <t>CAJA DE COMPENSACION</t>
        </is>
      </c>
      <c r="U63" s="2" t="inlineStr">
        <is>
          <t>-</t>
        </is>
      </c>
      <c r="V63" s="2" t="inlineStr">
        <is>
          <t>30/07/2026 10:50</t>
        </is>
      </c>
    </row>
    <row r="64">
      <c r="A64" s="2" t="inlineStr">
        <is>
          <t>🟢</t>
        </is>
      </c>
      <c r="B64" s="3" t="str">
        <f>HYPERLINK("https://compensar-smartit.onbmc.com/smartit/app/#/workorder/IDGEXM7CDZJ5AAT8U2B0T8U2B0CH6K","WO0000000312746")</f>
        <v>WO0000000312746</v>
      </c>
      <c r="C64" s="2" t="inlineStr">
        <is>
          <t>No</t>
        </is>
      </c>
      <c r="D64" s="2" t="inlineStr">
        <is>
          <t>Instalacion Onbase Aplicación de Usuario Final</t>
        </is>
      </c>
      <c r="E64" s="2" t="inlineStr">
        <is>
          <t>En curso</t>
        </is>
      </c>
      <c r="F64" s="2" t="inlineStr">
        <is>
          <t>Ubicación para atención del Servicio: BLOQUE G TORRE G PISO 1 ARCHIVO DE GARANTIAS
Número de contacto para la atención del servicio: 3005931771
Frente: CENTRO DE SERVICIOS COMPARTIDOS
Titulo: solicitud de instalación del aplicativo Onbase Unity
Descripción: solicitud de instalación del aplicativo Onbase Unity en los siguientes computadores ubicados en sede, quedamos atentos si requieres algo adicional.
CONTACTO EN SITIO Erika Liliana Sandoval Tel 3005931771
Numero de computador	Onbase instalado
910500003731	Sin Onbase
Tipo de Servicio: INSTALAR DESINSTALAR APLICACION
Aplicación: SWEX41-ONBASE</t>
        </is>
      </c>
      <c r="G64" s="2" t="inlineStr">
        <is>
          <t>SERVICIOS DE TECNOLOGIA-GESTION DE APLICACIONES-INSTALAR DESINSTALAR APLICACION</t>
        </is>
      </c>
      <c r="H64" s="2" t="inlineStr">
        <is>
          <t>Web</t>
        </is>
      </c>
      <c r="I64" s="2" t="inlineStr">
        <is>
          <t>Baja</t>
        </is>
      </c>
      <c r="J64" s="5">
        <v>46230.45277777778</v>
      </c>
      <c r="K64" s="2" t="inlineStr">
        <is>
          <t>GERLYN RENTERIA OROZCO</t>
        </is>
      </c>
      <c r="L64" s="2" t="inlineStr">
        <is>
          <t>ZONA CENTRO</t>
        </is>
      </c>
      <c r="M64" s="2" t="inlineStr">
        <is>
          <t>SERVICIOS DE TI</t>
        </is>
      </c>
      <c r="N64" s="2"/>
      <c r="O64" s="2" t="inlineStr">
        <is>
          <t>BIENESTAR Y DESARROLLO SOCIAL</t>
        </is>
      </c>
      <c r="P64" s="2"/>
      <c r="Q64" s="2" t="inlineStr">
        <is>
          <t>IDGEXM7CDZJ5AAT8U2B0T8U2B0CH6K</t>
        </is>
      </c>
      <c r="R64" s="2" t="inlineStr">
        <is>
          <t>a) 0-4</t>
        </is>
      </c>
      <c r="S64" s="4"/>
      <c r="T64" s="2" t="inlineStr">
        <is>
          <t>CAJA DE COMPENSACION</t>
        </is>
      </c>
      <c r="U64" s="2" t="inlineStr">
        <is>
          <t>-</t>
        </is>
      </c>
      <c r="V64" s="2" t="inlineStr">
        <is>
          <t>30/07/2026 10:52</t>
        </is>
      </c>
    </row>
    <row r="65">
      <c r="A65" s="2" t="inlineStr">
        <is>
          <t>🟢</t>
        </is>
      </c>
      <c r="B65" s="3" t="str">
        <f>HYPERLINK("https://compensar-smartit.onbmc.com/smartit/app/#/workorder/AGGIBMZTENYZ6AT8U67DT8U67DPXS8","WO0000000312820")</f>
        <v>WO0000000312820</v>
      </c>
      <c r="C65" s="2" t="inlineStr">
        <is>
          <t>No</t>
        </is>
      </c>
      <c r="D65" s="2" t="inlineStr">
        <is>
          <t>Asesoría, Acompañamiento, Actividades en Sitio y Entrega de Informes</t>
        </is>
      </c>
      <c r="E65" s="2" t="inlineStr">
        <is>
          <t>Asignado</t>
        </is>
      </c>
      <c r="F65" s="2" t="inlineStr">
        <is>
          <t>Ubicación para atención del Servicio: CENTRO ESPECIALIZADO CEP BARRANQUILLA
Número de contacto para la atención del servicio: 3046630023
Frente: SALUD
Titulo: Pruebas de conexión equipos de Microbiologia
Descripción: Buen día, se solicita un apoyo por parte de soporte en sitio para el proximo jueves 30 de julio 9 am en sede CEP Barranquilla en conjunto con el proveedor Biomerieux
Ubicacion: CEP Barranquilla
Fecha - Hora: jueves 30/07/2026 9:00 am
Contacto en sitio: YANIBIS GOMEZ MARTINEZ 3006659048 - Conectarse a sesion de Teams
Sesion de Teams 30/07/2026 9:00 am:
https://teams.microsoft.com/meet/257630448722955?p=kLukr4RKLFnZYHJF57
Tipo de Servicio: ACOMPAÑAMIENTO / EJECUCION DE ACTIVIDAD EN SITIO
Grupo Requerido: ASEGURADORES TECNOLOGICOS
Fecha requerida para la actividad: 2026-07-30
Duración de la actividad en minutos: 9 am a 12 pm
</t>
        </is>
      </c>
      <c r="G65" s="2" t="inlineStr">
        <is>
          <t>SERVICIOS DE TECNOLOGIA-ASESORIA/ACOMPANAMIENTO/ACTIVIDADES-ACOMPAÑAMIENTO / EJECUCION DE ACTIVIDAD EN SITIO</t>
        </is>
      </c>
      <c r="H65" s="2" t="inlineStr">
        <is>
          <t>Web</t>
        </is>
      </c>
      <c r="I65" s="2" t="inlineStr">
        <is>
          <t>Baja</t>
        </is>
      </c>
      <c r="J65" s="5">
        <v>46230.51875</v>
      </c>
      <c r="K65" s="2" t="inlineStr">
        <is>
          <t>EDWIN ALEXIS PATIÑO TEJEDOR</t>
        </is>
      </c>
      <c r="L65" s="2" t="inlineStr">
        <is>
          <t>SPT REGIONALES</t>
        </is>
      </c>
      <c r="M65" s="2" t="inlineStr">
        <is>
          <t>SERVICIOS DE TI</t>
        </is>
      </c>
      <c r="N65" s="2"/>
      <c r="O65" s="2" t="inlineStr">
        <is>
          <t>SALUD</t>
        </is>
      </c>
      <c r="P65" s="2"/>
      <c r="Q65" s="2" t="inlineStr">
        <is>
          <t>AGGIBMZTENYZ6AT8U67DT8U67DPXS8</t>
        </is>
      </c>
      <c r="R65" s="2" t="inlineStr">
        <is>
          <t>a) 0-4</t>
        </is>
      </c>
      <c r="S65" s="4"/>
      <c r="T65" s="2" t="inlineStr">
        <is>
          <t>CAJA DE COMPENSACION</t>
        </is>
      </c>
      <c r="U65" s="2" t="inlineStr">
        <is>
          <t>-</t>
        </is>
      </c>
      <c r="V65" s="2" t="inlineStr">
        <is>
          <t>30/07/2026 12:27</t>
        </is>
      </c>
    </row>
    <row r="66">
      <c r="A66" s="2" t="inlineStr">
        <is>
          <t>🟢</t>
        </is>
      </c>
      <c r="B66" s="3" t="str">
        <f>HYPERLINK("https://compensar-smartit.onbmc.com/smartit/app/#/workorder/AGGIBMZTENYZ6AT8UPEZT8UPEZB2WU","WO0000000312900")</f>
        <v>WO0000000312900</v>
      </c>
      <c r="C66" s="2" t="inlineStr">
        <is>
          <t>No</t>
        </is>
      </c>
      <c r="D66" s="2" t="inlineStr">
        <is>
          <t>Asesoría, Acompañamiento, Actividades en Sitio y Entrega de Informes</t>
        </is>
      </c>
      <c r="E66" s="2" t="inlineStr">
        <is>
          <t>En curso</t>
        </is>
      </c>
      <c r="F66" s="2" t="inlineStr">
        <is>
          <t>Ubicación para atención del Servicio: TELETRABAJO ESCRITORIO VIRTUAL
Número de contacto para la atención del servicio: 3174751941
Frente: SALUD
Titulo: Solicitud depuración de equipos EV y envío de evidencias
Descripción: Buen día equipo SPT Escritorios Virtuales
Solicito muy amablemente su apoyo para realizar la depuración de información (archivos temporales, caché, perfiles no utilizados y demás elementos que apliquen) en los siguientes equipos de Escritorios Virtuales:
Se comparte escritorios alarmados con uso de almacenamiento superior a 85%
Perfil	Escritorio	Almacenamiento 
Perfil 4	VMAZTTMPRD4-94	85%
Perfil 6	VMAZTT3PRD6-3	85%
Perfil 9	VMAZTTSPRD9-37	86%
Perfil Prestación	EVTTWVDPRES-4	94%
Perfil Prestación	EVAZTTPRES8-0	93%
Perfil Prestación	EVTTMSPRS29-2	90%
Perfil Prestación	EVTTWVDPRES-1	90%
Perfil Prestación	EVTTWVDPRES-7	89%
Perfil Prestación	EVTTMSPRS11-0	89%
Perfil Prestación	EVTTMSPRS26-2	88%
Perfil Prestación	EVTTMSPRS12-0	88%
Perfil Prestación	EVAZTTPRES0-0	87%
Una vez finalizada la depuración, agradezco por favor adjuntar evidencias donde se evidencie:
Tamaño en disco antes de la depuración
Tamaño en disco después de la depuración
Capturas de pantalla del resultado final por cada equipo
Quedo atento a cualquier información adicional que requieran para avanzar con la solicitud.
Muchas gracias por el apoyo.
Tipo de Servicio: EJECUCION DE ACTIVIDADES REMOTAS
Subcategoría: EJECUCION DE ACTIVIDADES
Grupo Requerido: SPT ESCRITORIO VIRTUAL
Fecha requerida para la actividad: 2026-07-27
Duración de la actividad en minutos: 120
Adjunto: [AGGEXM7CDZJ5AAT8UPEGT8UPEG9J07]
</t>
        </is>
      </c>
      <c r="G66" s="2" t="inlineStr">
        <is>
          <t>SERVICIOS DE TECNOLOGIA-ACOMPANAMIENTO-EJECUCION DE ACTIVIDADES REMOTAS</t>
        </is>
      </c>
      <c r="H66" s="2" t="inlineStr">
        <is>
          <t>Web</t>
        </is>
      </c>
      <c r="I66" s="2" t="inlineStr">
        <is>
          <t>Baja</t>
        </is>
      </c>
      <c r="J66" s="5">
        <v>46230.64861111111</v>
      </c>
      <c r="K66" s="2" t="inlineStr">
        <is>
          <t>FABIAN JESSID PASTRANA AGUIRRE</t>
        </is>
      </c>
      <c r="L66" s="2" t="inlineStr">
        <is>
          <t>SPT ESCRITORIO VIRTUAL</t>
        </is>
      </c>
      <c r="M66" s="2" t="inlineStr">
        <is>
          <t>SERVICIOS DE TI</t>
        </is>
      </c>
      <c r="N66" s="2"/>
      <c r="O66" s="2" t="inlineStr">
        <is>
          <t>SALUD</t>
        </is>
      </c>
      <c r="P66" s="2"/>
      <c r="Q66" s="2" t="inlineStr">
        <is>
          <t>AGGIBMZTENYZ6AT8UPEZT8UPEZB2WU</t>
        </is>
      </c>
      <c r="R66" s="2" t="inlineStr">
        <is>
          <t>a) 0-4</t>
        </is>
      </c>
      <c r="S66" s="4"/>
      <c r="T66" s="2" t="inlineStr">
        <is>
          <t>SALUD</t>
        </is>
      </c>
      <c r="U66" s="2" t="inlineStr">
        <is>
          <t>-</t>
        </is>
      </c>
      <c r="V66" s="2" t="inlineStr">
        <is>
          <t>30/07/2026 15:34</t>
        </is>
      </c>
    </row>
    <row r="67">
      <c r="A67" s="2" t="inlineStr">
        <is>
          <t>🟢</t>
        </is>
      </c>
      <c r="B67" s="3" t="str">
        <f>HYPERLINK("https://compensar-smartit.onbmc.com/smartit/app/#/workorder/IDGEXM7CDZJ5AAT8U7LVT8U7LV0PTN","WO0000000312910")</f>
        <v>WO0000000312910</v>
      </c>
      <c r="C67" s="2" t="inlineStr">
        <is>
          <t>No</t>
        </is>
      </c>
      <c r="D67" s="2" t="inlineStr">
        <is>
          <t>Envio/instalación CARGADOR A.C. LENOVO THINKPAD T470S activo 152800003099</t>
        </is>
      </c>
      <c r="E67" s="2" t="inlineStr">
        <is>
          <t>Asignado</t>
        </is>
      </c>
      <c r="F67" s="2" t="inlineStr">
        <is>
          <t>Usuario:Luz Dayana Chavez Rodriguez
Informa: El usuario   se comunica indicando que presenta falla novedad con el cargador del equipo , se daño y no funciona serial equipo 152800003099
Ubicación:sede bloque h piso 2 
Tiempo:7:38 a. m. 17/07/2026
Impacto: Usuarios afectados:1</t>
        </is>
      </c>
      <c r="G67" s="2" t="inlineStr">
        <is>
          <t>SERVICIOS DE TECNOLOGIA-ACTIVOS FIJOS TECNOLOGIA-ADQUISICION PARTES SIN GARANTIA</t>
        </is>
      </c>
      <c r="H67" s="2" t="inlineStr">
        <is>
          <t>Web</t>
        </is>
      </c>
      <c r="I67" s="2" t="inlineStr">
        <is>
          <t>Baja</t>
        </is>
      </c>
      <c r="J67" s="5">
        <v>46230.53680555556</v>
      </c>
      <c r="K67" s="2" t="inlineStr">
        <is>
          <t>GERLYN RENTERIA OROZCO</t>
        </is>
      </c>
      <c r="L67" s="2" t="inlineStr">
        <is>
          <t>ZONA CENTRO</t>
        </is>
      </c>
      <c r="M67" s="2" t="inlineStr">
        <is>
          <t>SERVICIOS DE TI</t>
        </is>
      </c>
      <c r="N67" s="2"/>
      <c r="O67" s="2" t="inlineStr">
        <is>
          <t>BIENESTAR Y DESARROLLO SOCIAL</t>
        </is>
      </c>
      <c r="P67" s="2"/>
      <c r="Q67" s="2" t="inlineStr">
        <is>
          <t>IDGEXM7CDZJ5AAT8U7LVT8U7LV0PTN</t>
        </is>
      </c>
      <c r="R67" s="2" t="inlineStr">
        <is>
          <t>a) 0-4</t>
        </is>
      </c>
      <c r="S67" s="4"/>
      <c r="T67" s="2"/>
      <c r="U67" s="2" t="inlineStr">
        <is>
          <t>-</t>
        </is>
      </c>
      <c r="V67" s="2" t="inlineStr">
        <is>
          <t>26/08/2026 12:53</t>
        </is>
      </c>
    </row>
    <row r="68">
      <c r="A68" s="2" t="inlineStr">
        <is>
          <t>🟢</t>
        </is>
      </c>
      <c r="B68" s="3" t="str">
        <f>HYPERLINK("https://compensar-smartit.onbmc.com/smartit/app/#/workorder/IDGEXM7CDZJ5AAT8UQ9VT8UQ9VMH9A","WO0000000312973")</f>
        <v>WO0000000312973</v>
      </c>
      <c r="C68" s="2" t="inlineStr">
        <is>
          <t>No</t>
        </is>
      </c>
      <c r="D68" s="2" t="inlineStr">
        <is>
          <t>Envio/instalación TECLADO PORTATIL SIN COVER HP ELITEBOOK 845 G7 activo 152800009506</t>
        </is>
      </c>
      <c r="E68" s="2" t="inlineStr">
        <is>
          <t>Asignado</t>
        </is>
      </c>
      <c r="F68" s="2" t="inlineStr">
        <is>
          <t>Usuario: Hortua, Andrea
CC: 1023927195
Tel: 3193779355
Informa: Fallo teclado se estan cayendo las teclas
Ubicación: desde casa
Tiempo: 12:58 p. m. 17/07/2026
Impacto: 1
Evidencias: activo P009506</t>
        </is>
      </c>
      <c r="G68" s="2" t="inlineStr">
        <is>
          <t>SERVICIOS DE TECNOLOGIA-ACTIVOS FIJOS TECNOLOGIA-ADQUISICION PARTES SIN GARANTIA</t>
        </is>
      </c>
      <c r="H68" s="2" t="inlineStr">
        <is>
          <t>Web</t>
        </is>
      </c>
      <c r="I68" s="2" t="inlineStr">
        <is>
          <t>Baja</t>
        </is>
      </c>
      <c r="J68" s="5">
        <v>46230.67083333333</v>
      </c>
      <c r="K68" s="2" t="inlineStr">
        <is>
          <t>KEVIN ALEXIS GARCIA GUARACA</t>
        </is>
      </c>
      <c r="L68" s="2" t="inlineStr">
        <is>
          <t>ZONA CENTRO</t>
        </is>
      </c>
      <c r="M68" s="2" t="inlineStr">
        <is>
          <t>SERVICIOS DE TI</t>
        </is>
      </c>
      <c r="N68" s="2"/>
      <c r="O68" s="2" t="inlineStr">
        <is>
          <t>BIENESTAR Y DESARROLLO SOCIAL</t>
        </is>
      </c>
      <c r="P68" s="2"/>
      <c r="Q68" s="2" t="inlineStr">
        <is>
          <t>IDGEXM7CDZJ5AAT8UQ9VT8UQ9VMH9A</t>
        </is>
      </c>
      <c r="R68" s="2" t="inlineStr">
        <is>
          <t>a) 0-4</t>
        </is>
      </c>
      <c r="S68" s="4"/>
      <c r="T68" s="2"/>
      <c r="U68" s="2" t="inlineStr">
        <is>
          <t>-</t>
        </is>
      </c>
      <c r="V68" s="2" t="inlineStr">
        <is>
          <t>26/08/2026 16:06</t>
        </is>
      </c>
    </row>
    <row r="69">
      <c r="A69" s="2" t="inlineStr">
        <is>
          <t>🟢</t>
        </is>
      </c>
      <c r="B69" s="3" t="str">
        <f>HYPERLINK("https://compensar-smartit.onbmc.com/smartit/app/#/workorder/AGGEXM7CDZJ5AAT8USHTT8USHTOF1W","WO0000000312988")</f>
        <v>WO0000000312988</v>
      </c>
      <c r="C69" s="2" t="inlineStr">
        <is>
          <t>No</t>
        </is>
      </c>
      <c r="D69" s="2" t="inlineStr">
        <is>
          <t>Aplicación de Usuario Final</t>
        </is>
      </c>
      <c r="E69" s="2" t="inlineStr">
        <is>
          <t>Asignado</t>
        </is>
      </c>
      <c r="F69" s="2" t="inlineStr">
        <is>
          <t>Ubicación para atención del Servicio: TELETRABAJO ESCRITORIO VIRTUAL - CALLE 94
Número de contacto para la atención del servicio: 3002713603
Frente: CENTRO DE SERVICIOS COMPARTIDOS
Titulo: Funcionalidades de TEAMS incompletas
Descripción: Buenas Tardes,
Me comunico con ustedes, debido a que para mi gestión desde la coordinación, requiero crear grupos de TEAMS y así mismo grupos por medio de chat. Revisando el TEAMS de mis compañeros, tienen habilitado el ícono de TEAMS y yo no, a pesar de tener la licencia reciente de office. Agradezco su colaboración con esta situación que me facilita la gestión del equipo.
Muchas gracias.
Tipo de Servicio: PARAMETRIZAR Y O CONFIGURAR APLICACION
Aplicación: SWPR184 - SHAREPOINT CAJAS SIN FRONTERAS
Adjunto: [AGGEXM7CDZJ5AAT8USDGT8USDGNXPS]</t>
        </is>
      </c>
      <c r="G69" s="2" t="inlineStr">
        <is>
          <t>SERVICIOS DE TECNOLOGIA-GESTION DE APLICACIONES-PARAMETRIZAR Y O CONFIGURAR APLICACION</t>
        </is>
      </c>
      <c r="H69" s="2" t="inlineStr">
        <is>
          <t>Web</t>
        </is>
      </c>
      <c r="I69" s="2" t="inlineStr">
        <is>
          <t>Baja</t>
        </is>
      </c>
      <c r="J69" s="5">
        <v>46230.694444444445</v>
      </c>
      <c r="K69" s="2" t="inlineStr">
        <is>
          <t>CARLOS IVAN CUCANCHON CARRILLO</t>
        </is>
      </c>
      <c r="L69" s="2" t="inlineStr">
        <is>
          <t>ZONA NORTE</t>
        </is>
      </c>
      <c r="M69" s="2" t="inlineStr">
        <is>
          <t>SERVICIOS DE TI</t>
        </is>
      </c>
      <c r="N69" s="2"/>
      <c r="O69" s="2" t="inlineStr">
        <is>
          <t>CENTRO DE SERVICIOS COMPARTIDOS</t>
        </is>
      </c>
      <c r="P69" s="2"/>
      <c r="Q69" s="2" t="inlineStr">
        <is>
          <t>AGGEXM7CDZJ5AAT8USHTT8USHTOF1W</t>
        </is>
      </c>
      <c r="R69" s="2" t="inlineStr">
        <is>
          <t>a) 0-4</t>
        </is>
      </c>
      <c r="S69" s="4"/>
      <c r="T69" s="2" t="inlineStr">
        <is>
          <t>CAJA DE COMPENSACION</t>
        </is>
      </c>
      <c r="U69" s="2" t="inlineStr">
        <is>
          <t>-</t>
        </is>
      </c>
      <c r="V69" s="2" t="inlineStr">
        <is>
          <t>30/07/2026 16:40</t>
        </is>
      </c>
    </row>
    <row r="70">
      <c r="A70" s="2" t="inlineStr">
        <is>
          <t>🟢</t>
        </is>
      </c>
      <c r="B70" s="3" t="str">
        <f>HYPERLINK("https://compensar-smartit.onbmc.com/smartit/app/#/workorder/AGGEXM7CDZJ5AAT8USNUT8USNUOOXE","WO0000000312992")</f>
        <v>WO0000000312992</v>
      </c>
      <c r="C70" s="2" t="inlineStr">
        <is>
          <t>No</t>
        </is>
      </c>
      <c r="D70" s="2" t="inlineStr">
        <is>
          <t>Asesoría, Acompañamiento, Actividades en Sitio y Entrega de Informes</t>
        </is>
      </c>
      <c r="E70" s="2" t="inlineStr">
        <is>
          <t>Asignado</t>
        </is>
      </c>
      <c r="F70" s="2" t="inlineStr">
        <is>
          <t>Ubicación para atención del Servicio: SUBA INTEGRAL TORRE A PISO 2 CAFE DE PASO
Número de contacto para la atención del servicio: 3115049902
Frente: BIENESTAR Y DESARROLLO SOCIAL
Titulo: Acompaamiento para revision maquina Seven POS - SUBA
Descripción: Se requiere acompañamiento para la revision de Turnos en la màquina de Sede Suba
Tipo de Servicio: ACOMPAÑAMIENTO / EJECUCION DE ACTIVIDAD EN SITIO
Grupo Requerido: ZONA NORTE
Fecha requerida para la actividad: 2026-07-28
Duración de la actividad en minutos: 1
</t>
        </is>
      </c>
      <c r="G70" s="2" t="inlineStr">
        <is>
          <t>SERVICIOS DE TECNOLOGIA-ASESORIA/ACOMPANAMIENTO/ACTIVIDADES-ACOMPAÑAMIENTO / EJECUCION DE ACTIVIDAD EN SITIO</t>
        </is>
      </c>
      <c r="H70" s="2" t="inlineStr">
        <is>
          <t>Web</t>
        </is>
      </c>
      <c r="I70" s="2" t="inlineStr">
        <is>
          <t>Baja</t>
        </is>
      </c>
      <c r="J70" s="5">
        <v>46230.70138888889</v>
      </c>
      <c r="K70" s="2" t="inlineStr">
        <is>
          <t>SEBASTIAN JERONIMO DELGADO CASTRO</t>
        </is>
      </c>
      <c r="L70" s="2" t="inlineStr">
        <is>
          <t>ZONA NORTE</t>
        </is>
      </c>
      <c r="M70" s="2" t="inlineStr">
        <is>
          <t>SERVICIOS DE TI</t>
        </is>
      </c>
      <c r="N70" s="2"/>
      <c r="O70" s="2" t="inlineStr">
        <is>
          <t>BIENESTAR Y DESARROLLO SOCIAL</t>
        </is>
      </c>
      <c r="P70" s="2"/>
      <c r="Q70" s="2" t="inlineStr">
        <is>
          <t>AGGEXM7CDZJ5AAT8USNUT8USNUOOXE</t>
        </is>
      </c>
      <c r="R70" s="2" t="inlineStr">
        <is>
          <t>a) 0-4</t>
        </is>
      </c>
      <c r="S70" s="4"/>
      <c r="T70" s="2" t="inlineStr">
        <is>
          <t>CAJA DE COMPENSACION</t>
        </is>
      </c>
      <c r="U70" s="2" t="inlineStr">
        <is>
          <t>-</t>
        </is>
      </c>
      <c r="V70" s="2" t="inlineStr">
        <is>
          <t>30/07/2026 09:50</t>
        </is>
      </c>
    </row>
    <row r="71">
      <c r="A71" s="2" t="inlineStr">
        <is>
          <t>🟢</t>
        </is>
      </c>
      <c r="B71" s="3" t="str">
        <f>HYPERLINK("https://compensar-smartit.onbmc.com/smartit/app/#/workorder/AGGIBMZTENYZ6AT8VWXPT8VWXPLTMC","WO0000000313070")</f>
        <v>WO0000000313070</v>
      </c>
      <c r="C71" s="2" t="inlineStr">
        <is>
          <t>No</t>
        </is>
      </c>
      <c r="D71" s="2" t="inlineStr">
        <is>
          <t>Asesoría, Acompañamiento, Actividades en Sitio y Entrega de Informes</t>
        </is>
      </c>
      <c r="E71" s="2" t="inlineStr">
        <is>
          <t>Asignado</t>
        </is>
      </c>
      <c r="F71" s="2" t="inlineStr">
        <is>
          <t>Ubicación para atención del Servicio: PRIMERA DE MAYO PISO 3 CONSULTORIO INGRESO 3 PISO 313
Número de contacto para la atención del servicio: 3122846845
Frente: SALUD
Titulo: CONFIGURACION PAD FIRMA BIOMETRICA CONS 314
Descripción: CONFIGURACION PAD FIRMA BIOMETRICA CONS 314
Tipo de Servicio: EJECUCION DE ACTIVIDADES EN SITIO
Subcategoría: ACOMPAÑAMIENTO
Grupo Requerido: ADA CHERWELL
Fecha requerida para la actividad: 2026-07-28
Duración de la actividad en minutos: 000000
Adjunto: [AGGIBMZTENYZ6AT8VWXLT8VWXLLT4F]
</t>
        </is>
      </c>
      <c r="G71" s="2" t="inlineStr">
        <is>
          <t>SERVICIOS DE TECNOLOGIA-ACOMPANAMIENTO-EJECUCION DE ACTIVIDADES EN SITIO</t>
        </is>
      </c>
      <c r="H71" s="2" t="inlineStr">
        <is>
          <t>Web</t>
        </is>
      </c>
      <c r="I71" s="2" t="inlineStr">
        <is>
          <t>Baja</t>
        </is>
      </c>
      <c r="J71" s="5">
        <v>46231.305555555555</v>
      </c>
      <c r="K71" s="2" t="inlineStr">
        <is>
          <t>ALEX STEVEN RODRIGUEZ CARDENAS</t>
        </is>
      </c>
      <c r="L71" s="2" t="inlineStr">
        <is>
          <t>SPT CABECERA 1 MAYO</t>
        </is>
      </c>
      <c r="M71" s="2" t="inlineStr">
        <is>
          <t>SERVICIOS DE TI</t>
        </is>
      </c>
      <c r="N71" s="2"/>
      <c r="O71" s="2" t="inlineStr">
        <is>
          <t>SALUD</t>
        </is>
      </c>
      <c r="P71" s="2"/>
      <c r="Q71" s="2" t="inlineStr">
        <is>
          <t>AGGIBMZTENYZ6AT8VWXPT8VWXPLTMC</t>
        </is>
      </c>
      <c r="R71" s="2" t="inlineStr">
        <is>
          <t>a) 0-4</t>
        </is>
      </c>
      <c r="S71" s="4"/>
      <c r="T71" s="2" t="inlineStr">
        <is>
          <t>SALUD</t>
        </is>
      </c>
      <c r="U71" s="2" t="inlineStr">
        <is>
          <t>-</t>
        </is>
      </c>
      <c r="V71" s="2" t="inlineStr">
        <is>
          <t>31/07/2026 08:00</t>
        </is>
      </c>
    </row>
    <row r="72">
      <c r="A72" s="2" t="inlineStr">
        <is>
          <t>🟢</t>
        </is>
      </c>
      <c r="B72" s="3" t="str">
        <f>HYPERLINK("https://compensar-smartit.onbmc.com/smartit/app/#/workorder/IDGEXM7CDZJ5AAT8WBRKT8WBRKHRC9","WO0000000313179")</f>
        <v>WO0000000313179</v>
      </c>
      <c r="C72" s="2" t="inlineStr">
        <is>
          <t>No</t>
        </is>
      </c>
      <c r="D72" s="2" t="inlineStr">
        <is>
          <t>Configuracion de audiculares</t>
        </is>
      </c>
      <c r="E72" s="2" t="inlineStr">
        <is>
          <t>Asignado</t>
        </is>
      </c>
      <c r="F72" s="2" t="inlineStr">
        <is>
          <t>Usuario: Jose Alvaro Torres Leguizamon
CC: 79693554
Tel: 3183246899
Informa: configuración de auriculares  
Ubicación: movilidad
Tiempo: 9:02 a. m. 28/07/2026
Impacto:1
Evidencias:  Se conecta al equipo , se buscan audífonos bluetooth pero el equipo no los encuentra , se valida con auriculares con cable al parecer no cuenta con salida de voz , se le indica al usuario por se de escritorio no cuenta con la opción bluetooth pero insiste , recomendar cambiar diadema afectada por una nueva tipo USB ,  Se escala para su gestión
Numero de activo : C003577</t>
        </is>
      </c>
      <c r="G72" s="2" t="inlineStr">
        <is>
          <t>SERVICIOS DE TECNOLOGIA-GESTION DE APLICACIONES-PARAMETRIZAR Y O CONFIGURAR APLICACION</t>
        </is>
      </c>
      <c r="H72" s="2" t="inlineStr">
        <is>
          <t>Telefono</t>
        </is>
      </c>
      <c r="I72" s="2" t="inlineStr">
        <is>
          <t>Baja</t>
        </is>
      </c>
      <c r="J72" s="5">
        <v>46231.38055555556</v>
      </c>
      <c r="K72" s="2" t="inlineStr">
        <is>
          <t>GERLYN RENTERIA OROZCO</t>
        </is>
      </c>
      <c r="L72" s="2" t="inlineStr">
        <is>
          <t>ZONA CENTRO</t>
        </is>
      </c>
      <c r="M72" s="2" t="inlineStr">
        <is>
          <t>SERVICIOS DE TI</t>
        </is>
      </c>
      <c r="N72" s="2"/>
      <c r="O72" s="2" t="inlineStr">
        <is>
          <t>BIENESTAR Y DESARROLLO SOCIAL</t>
        </is>
      </c>
      <c r="P72" s="2"/>
      <c r="Q72" s="2" t="inlineStr">
        <is>
          <t>IDGEXM7CDZJ5AAT8WBRKT8WBRKHRC9</t>
        </is>
      </c>
      <c r="R72" s="2" t="inlineStr">
        <is>
          <t>a) 0-4</t>
        </is>
      </c>
      <c r="S72" s="4"/>
      <c r="T72" s="2"/>
      <c r="U72" s="2" t="inlineStr">
        <is>
          <t>-</t>
        </is>
      </c>
      <c r="V72" s="2" t="inlineStr">
        <is>
          <t>31/07/2026 09:08</t>
        </is>
      </c>
    </row>
    <row r="73">
      <c r="A73" s="2" t="inlineStr">
        <is>
          <t>🟢</t>
        </is>
      </c>
      <c r="B73" s="3" t="str">
        <f>HYPERLINK("https://compensar-smartit.onbmc.com/smartit/app/#/workorder/AGGIBMZTENYZ6AT8WE5NT8WE5NVODN","WO0000000313234")</f>
        <v>WO0000000313234</v>
      </c>
      <c r="C73" s="2" t="inlineStr">
        <is>
          <t>No</t>
        </is>
      </c>
      <c r="D73" s="2" t="inlineStr">
        <is>
          <t>VISITA PROACTIVA</t>
        </is>
      </c>
      <c r="E73" s="2" t="inlineStr">
        <is>
          <t>En curso</t>
        </is>
      </c>
      <c r="F73" s="2" t="inlineStr">
        <is>
          <t>Ubicación para atención del Servicio: PRIMERA DE MAYO PISO 6 OFS COLABORADORES ADMINISTRACION
Número de contacto para la atención del servicio: 11671
Frente: SALUD
Titulo: VISITA PROACTIVA
Descripción: DETALLE
Tipo de Servicio: ACOMPAÑAMIENTO / EJECUCION DE ACTIVIDAD EN SITIO
Grupo Requerido: SPT CABECERA 1 MAYO
Fecha requerida para la actividad: 2026-07-28
Duración de la actividad en minutos: 120
</t>
        </is>
      </c>
      <c r="G73" s="2" t="inlineStr">
        <is>
          <t>SERVICIOS DE TECNOLOGIA-ASESORIA/ACOMPANAMIENTO/ACTIVIDADES-ACOMPAÑAMIENTO / EJECUCION DE ACTIVIDAD EN SITIO</t>
        </is>
      </c>
      <c r="H73" s="2" t="inlineStr">
        <is>
          <t>Web</t>
        </is>
      </c>
      <c r="I73" s="2" t="inlineStr">
        <is>
          <t>Baja</t>
        </is>
      </c>
      <c r="J73" s="5">
        <v>46231.41805555556</v>
      </c>
      <c r="K73" s="2" t="inlineStr">
        <is>
          <t>ALEX STEVEN RODRIGUEZ CARDENAS</t>
        </is>
      </c>
      <c r="L73" s="2" t="inlineStr">
        <is>
          <t>SPT CABECERA 1 MAYO</t>
        </is>
      </c>
      <c r="M73" s="2" t="inlineStr">
        <is>
          <t>SERVICIOS DE TI</t>
        </is>
      </c>
      <c r="N73" s="2" t="inlineStr">
        <is>
          <t>C001690</t>
        </is>
      </c>
      <c r="O73" s="2" t="inlineStr">
        <is>
          <t>SALUD</t>
        </is>
      </c>
      <c r="P73" s="2"/>
      <c r="Q73" s="2" t="inlineStr">
        <is>
          <t>AGGIBMZTENYZ6AT8WE5NT8WE5NVODN</t>
        </is>
      </c>
      <c r="R73" s="2" t="inlineStr">
        <is>
          <t>a) 0-4</t>
        </is>
      </c>
      <c r="S73" s="4"/>
      <c r="T73" s="2" t="inlineStr">
        <is>
          <t>SALUD</t>
        </is>
      </c>
      <c r="U73" s="2" t="inlineStr">
        <is>
          <t>-</t>
        </is>
      </c>
      <c r="V73" s="2" t="inlineStr">
        <is>
          <t>31/07/2026 10:02</t>
        </is>
      </c>
    </row>
    <row r="74">
      <c r="A74" s="2" t="inlineStr">
        <is>
          <t>🟢</t>
        </is>
      </c>
      <c r="B74" s="3" t="str">
        <f>HYPERLINK("https://compensar-smartit.onbmc.com/smartit/app/#/workorder/AGGEXM7CDZJ5AAT8WDWKT8WDWK070J","WO0000000313308")</f>
        <v>WO0000000313308</v>
      </c>
      <c r="C74" s="2" t="inlineStr">
        <is>
          <t>No</t>
        </is>
      </c>
      <c r="D74" s="2" t="inlineStr">
        <is>
          <t>solicita habilitar la opcion del microfono de la diadema</t>
        </is>
      </c>
      <c r="E74" s="2" t="inlineStr">
        <is>
          <t>Asignado</t>
        </is>
      </c>
      <c r="F74" s="2" t="inlineStr">
        <is>
          <t>Extensión: 3197966196
Ubicación: US C26 TORRE A PISO 7 ADMINISTRACION SAM
Frente: SALUD
Tipo de Servicio: HABILITAR PERMISOS PUERTOS USB
Descripción: Se solicita habilitar la opción del micrófono de la diadema para las reunión 
Computador C006060
IP 172.28.91.39
Título: PERMISOS MICROFONO DE DIADEMA
Tipo de Servicio: HABILITAR PERMISOS PUERTOS USB</t>
        </is>
      </c>
      <c r="G74" s="2" t="inlineStr">
        <is>
          <t>SERVICIOS DE TECNOLOGIA-SEGURIDAD DE LA INFORMACION-HABILITAR PERMISOS PUERTOS USB</t>
        </is>
      </c>
      <c r="H74" s="2" t="inlineStr">
        <is>
          <t>Web</t>
        </is>
      </c>
      <c r="I74" s="2" t="inlineStr">
        <is>
          <t>Media</t>
        </is>
      </c>
      <c r="J74" s="5">
        <v>46231.40972222222</v>
      </c>
      <c r="K74" s="2" t="inlineStr">
        <is>
          <t>CAMILO ANDRES GONZALEZ NARVAEZ</t>
        </is>
      </c>
      <c r="L74" s="2" t="inlineStr">
        <is>
          <t>SPT CABECERA CALLE 26</t>
        </is>
      </c>
      <c r="M74" s="2" t="inlineStr">
        <is>
          <t>SERVICIOS DE TI</t>
        </is>
      </c>
      <c r="N74" s="2"/>
      <c r="O74" s="2" t="inlineStr">
        <is>
          <t>SALUD</t>
        </is>
      </c>
      <c r="P74" s="2"/>
      <c r="Q74" s="2" t="inlineStr">
        <is>
          <t>AGGEXM7CDZJ5AAT8WDWKT8WDWK070J</t>
        </is>
      </c>
      <c r="R74" s="2" t="inlineStr">
        <is>
          <t>a) 0-4</t>
        </is>
      </c>
      <c r="S74" s="4"/>
      <c r="T74" s="2" t="inlineStr">
        <is>
          <t>SALUD</t>
        </is>
      </c>
      <c r="U74" s="2" t="inlineStr">
        <is>
          <t>-</t>
        </is>
      </c>
      <c r="V74" s="2" t="inlineStr">
        <is>
          <t>30/07/2026 09:50</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