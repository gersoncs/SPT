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svg" ContentType="image/svg"/>
  <Default Extension="tiff" ContentType="image/tiff"/>
  <Default Extension="wmz" ContentType="image/x-wmz"/>
  <Default Extension="gif" ContentType="image/gif"/>
  <Default Extension="emf" ContentType="image/x-emf"/>
  <Default Extension="wmf" ContentType="image/x-wmf"/>
  <Default Extension="emz" ContentType="image/x-emz"/>
  <Default Extension="bmp" ContentType="image/bmp"/>
  <Default Extension="jpeg" ContentType="image/jpeg"/>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1-Untitled" sheetId="2" r:id="rId4"/>
    <sheet name="2-Incidentes" sheetId="3" r:id="rId5"/>
    <sheet name="3-INC - Asignados" sheetId="4" r:id="rId6"/>
    <sheet name="4-INC - Vencimiento SLA" sheetId="5" r:id="rId7"/>
    <sheet name="5-INC - Antiguedad (días)" sheetId="6" r:id="rId8"/>
    <sheet name="6-INC - Estado" sheetId="7" r:id="rId9"/>
    <sheet name="7-INC - Resolutor Asignado" sheetId="8" r:id="rId10"/>
    <sheet name="8-INC - Grupo Asignado" sheetId="9" r:id="rId11"/>
    <sheet name="9-Ordenes de trabajo" sheetId="10" r:id="rId12"/>
    <sheet name="10-WO - Asignados" sheetId="11" r:id="rId13"/>
    <sheet name="11-WO - Vencimiento SLA" sheetId="12" r:id="rId14"/>
    <sheet name="12-WO - Antiguedad (días)" sheetId="13" r:id="rId15"/>
    <sheet name="13-WO - Estado" sheetId="14" r:id="rId16"/>
    <sheet name="14-WO - Resolutor Asignado" sheetId="15" r:id="rId17"/>
    <sheet name="15-WO - Grupo Asignado" sheetId="16" r:id="rId18"/>
    <sheet name="16-Incidentes (1)" sheetId="17" r:id="rId19"/>
    <sheet name="17-Ordenes de Trabajo" sheetId="18" r:id="rId20"/>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dd\/mm\/yyyy\ hh:mm:ss"/>
    <numFmt numFmtId="165" formatCode="dd\/mm\/yyyy\ hh:mm"/>
  </numFmts>
  <fonts count="4">
    <font>
      <sz val="11"/>
      <color theme="1"/>
      <name val="Calibri"/>
      <family val="2"/>
    </font>
    <font>
      <b val="1"/>
      <sz val="11"/>
      <color rgb="FF000000"/>
      <name val="Calibri"/>
      <family val="2"/>
    </font>
    <font>
      <sz val="11"/>
      <color/>
      <name val="Calibri"/>
      <family val="2"/>
    </font>
    <font>
      <u val="single"/>
      <sz val="11"/>
      <color rgb="FFBLUE"/>
      <name val="Calibri"/>
      <family val="2"/>
    </font>
  </fonts>
  <fills count="3">
    <fill>
      <patternFill patternType="none"/>
    </fill>
    <fill>
      <patternFill patternType="gray125"/>
    </fill>
    <fill>
      <patternFill patternType="solid">
        <fgColor rgb="FFF2F2F2"/>
      </patternFill>
    </fill>
  </fills>
  <borders count="2">
    <border>
      <left/>
      <right/>
      <top/>
      <bottom/>
      <diagonal/>
    </border>
    <border>
      <left/>
      <right/>
      <top/>
      <bottom style="thin">
        <color rgb="FF000000"/>
      </bottom>
      <diagonal/>
    </border>
  </borders>
  <cellStyleXfs count="1">
    <xf numFmtId="0" fontId="0" fillId="0" borderId="0"/>
  </cellStyleXfs>
  <cellXfs count="6">
    <xf numFmtId="0" fontId="0" fillId="0" borderId="0" xfId="0"/>
    <xf numFmtId="0" fontId="1" fillId="2" borderId="1" xfId="0" applyFont="true" applyFill="true" applyBorder="true" applyAlignment="true">
      <alignment horizontal="left" vertical="center"/>
    </xf>
    <xf numFmtId="0" fontId="2" fillId="0" borderId="0" xfId="0" applyFont="true" applyAlignment="true">
      <alignment horizontal="left" vertical="top"/>
    </xf>
    <xf numFmtId="0" fontId="3" fillId="0" borderId="0" xfId="0" applyFont="true" applyAlignment="true">
      <alignment horizontal="left" vertical="top"/>
    </xf>
    <xf numFmtId="164" fontId="2" fillId="0" borderId="0" xfId="0" applyNumberFormat="true" applyFont="true" applyAlignment="true">
      <alignment horizontal="left" vertical="top"/>
    </xf>
    <xf numFmtId="165" fontId="2" fillId="0" borderId="0" xfId="0" applyNumberFormat="true" applyFont="true" applyAlignment="true">
      <alignment horizontal="left" vertical="top"/>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 Id="rId16" Target="/xl/worksheets/sheet14.xml" Type="http://schemas.openxmlformats.org/officeDocument/2006/relationships/worksheet"></Relationship><Relationship Id="rId17" Target="/xl/worksheets/sheet15.xml" Type="http://schemas.openxmlformats.org/officeDocument/2006/relationships/worksheet"></Relationship><Relationship Id="rId18" Target="/xl/worksheets/sheet16.xml" Type="http://schemas.openxmlformats.org/officeDocument/2006/relationships/worksheet"></Relationship><Relationship Id="rId19" Target="/xl/worksheets/sheet17.xml" Type="http://schemas.openxmlformats.org/officeDocument/2006/relationships/worksheet"></Relationship><Relationship Id="rId20" Target="/xl/worksheets/sheet18.xml" Type="http://schemas.openxmlformats.org/officeDocument/2006/relationships/worksheet"></Relationship></Relationships>
</file>

<file path=xl/drawings/_rels/drawing1.xml.rels><?xml version="1.0" encoding="UTF-8"?>
<Relationships xmlns="http://schemas.openxmlformats.org/package/2006/relationships"><Relationship Id="rId1" Target="../media/image1.png" Type="http://schemas.openxmlformats.org/officeDocument/2006/relationships/image"></Relationship></Relationships>
</file>

<file path=xl/drawings/_rels/drawing2.xml.rels><?xml version="1.0" encoding="UTF-8"?>
<Relationships xmlns="http://schemas.openxmlformats.org/package/2006/relationships"><Relationship Id="rId1" Target="../media/image2.png" Type="http://schemas.openxmlformats.org/officeDocument/2006/relationships/image"></Relationship></Relationships>
</file>

<file path=xl/drawings/_rels/drawing3.xml.rels><?xml version="1.0" encoding="UTF-8"?>
<Relationships xmlns="http://schemas.openxmlformats.org/package/2006/relationships"><Relationship Id="rId1" Target="../media/image3.png" Type="http://schemas.openxmlformats.org/officeDocument/2006/relationships/image"></Relationship></Relationships>
</file>

<file path=xl/drawings/_rels/drawing4.xml.rels><?xml version="1.0" encoding="UTF-8"?>
<Relationships xmlns="http://schemas.openxmlformats.org/package/2006/relationships"><Relationship Id="rId1" Target="../media/image4.png" Type="http://schemas.openxmlformats.org/officeDocument/2006/relationships/image"></Relationship></Relationships>
</file>

<file path=xl/drawings/_rels/drawing5.xml.rels><?xml version="1.0" encoding="UTF-8"?>
<Relationships xmlns="http://schemas.openxmlformats.org/package/2006/relationships"><Relationship Id="rId1" Target="../media/image5.png" Type="http://schemas.openxmlformats.org/officeDocument/2006/relationships/image"></Relationship></Relationships>
</file>

<file path=xl/drawings/_rels/drawing6.xml.rels><?xml version="1.0" encoding="UTF-8"?>
<Relationships xmlns="http://schemas.openxmlformats.org/package/2006/relationships"><Relationship Id="rId1" Target="../media/image6.png" Type="http://schemas.openxmlformats.org/officeDocument/2006/relationships/image"></Relationship></Relationships>
</file>

<file path=xl/drawings/_rels/drawing7.xml.rels><?xml version="1.0" encoding="UTF-8"?>
<Relationships xmlns="http://schemas.openxmlformats.org/package/2006/relationships"><Relationship Id="rId1" Target="../media/image7.png" Type="http://schemas.openxmlformats.org/officeDocument/2006/relationships/image"></Relationship></Relationships>
</file>

<file path=xl/drawings/_rels/drawing8.xml.rels><?xml version="1.0" encoding="UTF-8"?>
<Relationships xmlns="http://schemas.openxmlformats.org/package/2006/relationships"><Relationship Id="rId1" Target="../media/image8.png" Type="http://schemas.openxmlformats.org/officeDocument/2006/relationships/image"></Relationship></Relationships>
</file>

<file path=xl/drawings/_rels/drawing9.xml.rels><?xml version="1.0" encoding="UTF-8"?>
<Relationships xmlns="http://schemas.openxmlformats.org/package/2006/relationships"><Relationship Id="rId1" Target="../media/image9.png" Type="http://schemas.openxmlformats.org/officeDocument/2006/relationships/image"></Relationship></Relationships>
</file>

<file path=xl/drawings/_rels/drawing10.xml.rels><?xml version="1.0" encoding="UTF-8"?>
<Relationships xmlns="http://schemas.openxmlformats.org/package/2006/relationships"><Relationship Id="rId1" Target="../media/image10.png" Type="http://schemas.openxmlformats.org/officeDocument/2006/relationships/image"></Relationship></Relationships>
</file>

<file path=xl/drawings/_rels/drawing11.xml.rels><?xml version="1.0" encoding="UTF-8"?>
<Relationships xmlns="http://schemas.openxmlformats.org/package/2006/relationships"><Relationship Id="rId1" Target="../media/image11.pn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3.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4.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5.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6.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7.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8.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9.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0.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_rels/sheet4.xml.rels><?xml version="1.0" encoding="UTF-8"?>
<Relationships xmlns="http://schemas.openxmlformats.org/package/2006/relationships"><Relationship Id="rId1" Target="../drawings/drawing3.xml" Type="http://schemas.openxmlformats.org/officeDocument/2006/relationships/drawing"></Relationship></Relationships>
</file>

<file path=xl/worksheets/_rels/sheet5.xml.rels><?xml version="1.0" encoding="UTF-8"?>
<Relationships xmlns="http://schemas.openxmlformats.org/package/2006/relationships"><Relationship Id="rId1" Target="../drawings/drawing4.xml" Type="http://schemas.openxmlformats.org/officeDocument/2006/relationships/drawing"></Relationship></Relationships>
</file>

<file path=xl/worksheets/_rels/sheet6.xml.rels><?xml version="1.0" encoding="UTF-8"?>
<Relationships xmlns="http://schemas.openxmlformats.org/package/2006/relationships"><Relationship Id="rId1" Target="../drawings/drawing5.xml" Type="http://schemas.openxmlformats.org/officeDocument/2006/relationships/drawing"></Relationship></Relationships>
</file>

<file path=xl/worksheets/_rels/sheet7.xml.rels><?xml version="1.0" encoding="UTF-8"?>
<Relationships xmlns="http://schemas.openxmlformats.org/package/2006/relationships"><Relationship Id="rId1" Target="../drawings/drawing6.xml" Type="http://schemas.openxmlformats.org/officeDocument/2006/relationships/drawing"></Relationship></Relationships>
</file>

<file path=xl/worksheets/_rels/sheet10.xml.rels><?xml version="1.0" encoding="UTF-8"?>
<Relationships xmlns="http://schemas.openxmlformats.org/package/2006/relationships"><Relationship Id="rId1" Target="../drawings/drawing7.xml" Type="http://schemas.openxmlformats.org/officeDocument/2006/relationships/drawing"></Relationship></Relationships>
</file>

<file path=xl/worksheets/_rels/sheet11.xml.rels><?xml version="1.0" encoding="UTF-8"?>
<Relationships xmlns="http://schemas.openxmlformats.org/package/2006/relationships"><Relationship Id="rId1" Target="../drawings/drawing8.xml" Type="http://schemas.openxmlformats.org/officeDocument/2006/relationships/drawing"></Relationship></Relationships>
</file>

<file path=xl/worksheets/_rels/sheet12.xml.rels><?xml version="1.0" encoding="UTF-8"?>
<Relationships xmlns="http://schemas.openxmlformats.org/package/2006/relationships"><Relationship Id="rId1" Target="../drawings/drawing9.xml" Type="http://schemas.openxmlformats.org/officeDocument/2006/relationships/drawing"></Relationship></Relationships>
</file>

<file path=xl/worksheets/_rels/sheet13.xml.rels><?xml version="1.0" encoding="UTF-8"?>
<Relationships xmlns="http://schemas.openxmlformats.org/package/2006/relationships"><Relationship Id="rId1" Target="../drawings/drawing10.xml" Type="http://schemas.openxmlformats.org/officeDocument/2006/relationships/drawing"></Relationship></Relationships>
</file>

<file path=xl/worksheets/_rels/sheet14.xml.rels><?xml version="1.0" encoding="UTF-8"?>
<Relationships xmlns="http://schemas.openxmlformats.org/package/2006/relationships"><Relationship Id="rId1" Target="../drawings/drawing11.xml" Type="http://schemas.openxmlformats.org/officeDocument/2006/relationships/drawing"></Relationship></Relationships>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tabSelected="true" workbookViewId="0"/>
  </sheetViews>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7.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MIGUEL JOSE NUÑEZ MARQUEZ</t>
        </is>
      </c>
      <c r="B2" s="2">
        <v>11</v>
      </c>
    </row>
    <row r="3">
      <c r="A3" s="2" t="inlineStr">
        <is>
          <t>SANTIAGO PERDOMO ACERO</t>
        </is>
      </c>
      <c r="B3" s="2">
        <v>10</v>
      </c>
    </row>
    <row r="4">
      <c r="A4" s="2" t="inlineStr">
        <is>
          <t>GERLYN RENTERIA OROZCO</t>
        </is>
      </c>
      <c r="B4" s="2">
        <v>8</v>
      </c>
    </row>
    <row r="5">
      <c r="A5" s="2" t="inlineStr">
        <is>
          <t>KEVIN ALEXIS GARCIA GUARACA</t>
        </is>
      </c>
      <c r="B5" s="2">
        <v>5</v>
      </c>
    </row>
    <row r="6">
      <c r="A6" s="2" t="inlineStr">
        <is>
          <t>MICHAEL STEVEN FRAILE GOMEZ</t>
        </is>
      </c>
      <c r="B6" s="2">
        <v>5</v>
      </c>
    </row>
    <row r="7">
      <c r="A7" s="2" t="inlineStr">
        <is>
          <t>DANIEL ALEJANDRO BORDA MESTIZO</t>
        </is>
      </c>
      <c r="B7" s="2">
        <v>4</v>
      </c>
    </row>
    <row r="8">
      <c r="A8" s="2" t="inlineStr">
        <is>
          <t>ANDERSON JULIAN RATIVA RAMIREZ</t>
        </is>
      </c>
      <c r="B8" s="2">
        <v>3</v>
      </c>
    </row>
    <row r="9">
      <c r="A9" s="2" t="inlineStr">
        <is>
          <t>NICK STEVE TRIANA LOPEZ</t>
        </is>
      </c>
      <c r="B9" s="2">
        <v>3</v>
      </c>
    </row>
    <row r="10">
      <c r="A10" s="2" t="inlineStr">
        <is>
          <t>DILAN SAMIR LOPEZ ARAUJO</t>
        </is>
      </c>
      <c r="B10" s="2">
        <v>2</v>
      </c>
    </row>
    <row r="11">
      <c r="A11" s="2" t="inlineStr">
        <is>
          <t>JEFFERSON ESCOBAR ALDANA</t>
        </is>
      </c>
      <c r="B11" s="2">
        <v>2</v>
      </c>
    </row>
    <row r="12">
      <c r="A12" s="2" t="inlineStr">
        <is>
          <t>DANIEL CAMILO BARRERO GALINDO</t>
        </is>
      </c>
      <c r="B12" s="2">
        <v>1</v>
      </c>
    </row>
    <row r="13">
      <c r="A13" s="2" t="inlineStr">
        <is>
          <t>DAVID ESTEBAN DIAZ LLANOS</t>
        </is>
      </c>
      <c r="B13" s="2">
        <v>1</v>
      </c>
    </row>
    <row r="14">
      <c r="A14" s="2" t="inlineStr">
        <is>
          <t>EDWIN ALEXIS PATIÑO TEJEDOR</t>
        </is>
      </c>
      <c r="B14" s="2">
        <v>1</v>
      </c>
    </row>
    <row r="15">
      <c r="A15" s="2" t="inlineStr">
        <is>
          <t>FABIAN JESSID PASTRANA AGUIRRE</t>
        </is>
      </c>
      <c r="B15" s="2">
        <v>1</v>
      </c>
    </row>
    <row r="16">
      <c r="A16" s="2" t="inlineStr">
        <is>
          <t>JEISON ANDRES REYES ROMERO</t>
        </is>
      </c>
      <c r="B16" s="2">
        <v>1</v>
      </c>
    </row>
    <row r="17">
      <c r="A17" s="2" t="inlineStr">
        <is>
          <t>MARIA FERNANDA PEREIRA BUENO</t>
        </is>
      </c>
      <c r="B17" s="2">
        <v>1</v>
      </c>
    </row>
  </sheetData>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ZONA CENTRO</t>
        </is>
      </c>
      <c r="B2" s="2">
        <v>30</v>
      </c>
    </row>
    <row r="3">
      <c r="A3" s="2" t="inlineStr">
        <is>
          <t>SPT ZONA NORTE</t>
        </is>
      </c>
      <c r="B3" s="2">
        <v>7</v>
      </c>
    </row>
    <row r="4">
      <c r="A4" s="2" t="inlineStr">
        <is>
          <t>ZONA NORTE</t>
        </is>
      </c>
      <c r="B4" s="2">
        <v>6</v>
      </c>
    </row>
    <row r="5">
      <c r="A5" s="2" t="inlineStr">
        <is>
          <t>SPT ZONA SURORIENTE</t>
        </is>
      </c>
      <c r="B5" s="2">
        <v>4</v>
      </c>
    </row>
    <row r="6">
      <c r="A6" s="2" t="inlineStr">
        <is>
          <t>ZONA SURORIENTE</t>
        </is>
      </c>
      <c r="B6" s="2">
        <v>3</v>
      </c>
    </row>
    <row r="7">
      <c r="A7" s="2" t="inlineStr">
        <is>
          <t>ZONA OCCIDENTE</t>
        </is>
      </c>
      <c r="B7" s="2">
        <v>2</v>
      </c>
    </row>
    <row r="8">
      <c r="A8" s="2" t="inlineStr">
        <is>
          <t>SPT CABECERA CALLE 42</t>
        </is>
      </c>
      <c r="B8" s="2">
        <v>1</v>
      </c>
    </row>
    <row r="9">
      <c r="A9" s="2" t="inlineStr">
        <is>
          <t>SPT ESCRITORIO VIRTUAL</t>
        </is>
      </c>
      <c r="B9" s="2">
        <v>1</v>
      </c>
    </row>
    <row r="10">
      <c r="A10" s="2" t="inlineStr">
        <is>
          <t>SPT REGIONALES</t>
        </is>
      </c>
      <c r="B10" s="2">
        <v>1</v>
      </c>
    </row>
    <row r="11">
      <c r="A11" s="2" t="inlineStr">
        <is>
          <t>SPT ZONA CENTRO</t>
        </is>
      </c>
      <c r="B11" s="2">
        <v>1</v>
      </c>
    </row>
    <row r="12">
      <c r="A12" s="2" t="inlineStr">
        <is>
          <t>SPT ZONA OCCIDENTE</t>
        </is>
      </c>
      <c r="B12" s="2">
        <v>1</v>
      </c>
    </row>
    <row r="13">
      <c r="A13" s="2" t="inlineStr">
        <is>
          <t>SPT ZONA ORIENTE</t>
        </is>
      </c>
      <c r="B13" s="2">
        <v>1</v>
      </c>
    </row>
    <row r="14">
      <c r="A14" s="2" t="inlineStr">
        <is>
          <t>ZONA ORIENTE</t>
        </is>
      </c>
      <c r="B14" s="2">
        <v>1</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ANDERSON JULIAN RATIVA RAMIREZ</t>
        </is>
      </c>
      <c r="B2" s="2">
        <v>3</v>
      </c>
    </row>
    <row r="3">
      <c r="A3" s="2" t="inlineStr">
        <is>
          <t>CARLOS IVAN CUCANCHON CARRILLO</t>
        </is>
      </c>
      <c r="B3" s="2">
        <v>1</v>
      </c>
    </row>
    <row r="4">
      <c r="A4" s="2" t="inlineStr">
        <is>
          <t>DANIEL ALEJANDRO BORDA MESTIZO</t>
        </is>
      </c>
      <c r="B4" s="2">
        <v>4</v>
      </c>
    </row>
    <row r="5">
      <c r="A5" s="2" t="inlineStr">
        <is>
          <t>DANIEL CAMILO BARRERO GALINDO</t>
        </is>
      </c>
      <c r="B5" s="2">
        <v>1</v>
      </c>
    </row>
    <row r="6">
      <c r="A6" s="2" t="inlineStr">
        <is>
          <t>DILAN SAMIR LOPEZ ARAUJO</t>
        </is>
      </c>
      <c r="B6" s="2">
        <v>3</v>
      </c>
    </row>
    <row r="7">
      <c r="A7" s="2" t="inlineStr">
        <is>
          <t>EDWIN ALEXIS PATIÑO TEJEDOR</t>
        </is>
      </c>
      <c r="B7" s="2">
        <v>4</v>
      </c>
    </row>
    <row r="8">
      <c r="A8" s="2" t="inlineStr">
        <is>
          <t>FABIAN JESSID PASTRANA AGUIRRE</t>
        </is>
      </c>
      <c r="B8" s="2">
        <v>2</v>
      </c>
    </row>
    <row r="9">
      <c r="A9" s="2" t="inlineStr">
        <is>
          <t>GERLYN RENTERIA OROZCO</t>
        </is>
      </c>
      <c r="B9" s="2">
        <v>7</v>
      </c>
    </row>
    <row r="10">
      <c r="A10" s="2" t="inlineStr">
        <is>
          <t>IVAN FELIPE GARCIA MANRIQUE</t>
        </is>
      </c>
      <c r="B10" s="2">
        <v>2</v>
      </c>
    </row>
    <row r="11">
      <c r="A11" s="2" t="inlineStr">
        <is>
          <t>JEFFERSON ESCOBAR ALDANA</t>
        </is>
      </c>
      <c r="B11" s="2">
        <v>1</v>
      </c>
    </row>
    <row r="12">
      <c r="A12" s="2" t="inlineStr">
        <is>
          <t>JEISON ANDRES REYES ROMERO</t>
        </is>
      </c>
      <c r="B12" s="2">
        <v>1</v>
      </c>
    </row>
    <row r="13">
      <c r="A13" s="2" t="inlineStr">
        <is>
          <t>JUAN CAMILO RINCON BLANCO</t>
        </is>
      </c>
      <c r="B13" s="2">
        <v>3</v>
      </c>
    </row>
    <row r="14">
      <c r="A14" s="2" t="inlineStr">
        <is>
          <t>KEVIN ALEXIS GARCIA GUARACA</t>
        </is>
      </c>
      <c r="B14" s="2">
        <v>3</v>
      </c>
    </row>
    <row r="15">
      <c r="A15" s="2" t="inlineStr">
        <is>
          <t>MARIA FERNANDA PEREIRA BUENO</t>
        </is>
      </c>
      <c r="B15" s="2">
        <v>1</v>
      </c>
    </row>
    <row r="16">
      <c r="A16" s="2" t="inlineStr">
        <is>
          <t>MICHAEL STEVEN FRAILE GOMEZ</t>
        </is>
      </c>
      <c r="B16" s="2">
        <v>1</v>
      </c>
    </row>
    <row r="17">
      <c r="A17" s="2" t="inlineStr">
        <is>
          <t>NICK STEVE TRIANA LOPEZ</t>
        </is>
      </c>
      <c r="B17" s="2">
        <v>5</v>
      </c>
    </row>
    <row r="18">
      <c r="A18" s="2" t="inlineStr">
        <is>
          <t>SANTIAGO PERDOMO ACERO</t>
        </is>
      </c>
      <c r="B18" s="2">
        <v>3</v>
      </c>
    </row>
  </sheetData>
</worksheet>
</file>

<file path=xl/worksheets/sheet1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SPT CABECERA CALLE 26</t>
        </is>
      </c>
      <c r="B2" s="2">
        <v>1</v>
      </c>
    </row>
    <row r="3">
      <c r="A3" s="2" t="inlineStr">
        <is>
          <t>SPT CABECERA CALLE 94</t>
        </is>
      </c>
      <c r="B3" s="2">
        <v>2</v>
      </c>
    </row>
    <row r="4">
      <c r="A4" s="2" t="inlineStr">
        <is>
          <t>SPT CABECERA CARRERA 69</t>
        </is>
      </c>
      <c r="B4" s="2">
        <v>5</v>
      </c>
    </row>
    <row r="5">
      <c r="A5" s="2" t="inlineStr">
        <is>
          <t>SPT ESCRITORIO VIRTUAL</t>
        </is>
      </c>
      <c r="B5" s="2">
        <v>1</v>
      </c>
    </row>
    <row r="6">
      <c r="A6" s="2" t="inlineStr">
        <is>
          <t>SPT ZONA CENTRO</t>
        </is>
      </c>
      <c r="B6" s="2">
        <v>4</v>
      </c>
    </row>
    <row r="7">
      <c r="A7" s="2" t="inlineStr">
        <is>
          <t>SPT ZONA NORTE</t>
        </is>
      </c>
      <c r="B7" s="2">
        <v>3</v>
      </c>
    </row>
    <row r="8">
      <c r="A8" s="2" t="inlineStr">
        <is>
          <t>SPT ZONA OCCIDENTE</t>
        </is>
      </c>
      <c r="B8" s="2">
        <v>1</v>
      </c>
    </row>
    <row r="9">
      <c r="A9" s="2" t="inlineStr">
        <is>
          <t>SPT ZONA ORIENTE</t>
        </is>
      </c>
      <c r="B9" s="2">
        <v>1</v>
      </c>
    </row>
    <row r="10">
      <c r="A10" s="2" t="inlineStr">
        <is>
          <t>SPT ZONA SURORIENTE</t>
        </is>
      </c>
      <c r="B10" s="2">
        <v>1</v>
      </c>
    </row>
    <row r="11">
      <c r="A11" s="2" t="inlineStr">
        <is>
          <t>ZONA CENTRO</t>
        </is>
      </c>
      <c r="B11" s="2">
        <v>20</v>
      </c>
    </row>
    <row r="12">
      <c r="A12" s="2" t="inlineStr">
        <is>
          <t>ZONA NOROCCIDENTE</t>
        </is>
      </c>
      <c r="B12" s="2">
        <v>1</v>
      </c>
    </row>
    <row r="13">
      <c r="A13" s="2" t="inlineStr">
        <is>
          <t>ZONA NORTE</t>
        </is>
      </c>
      <c r="B13" s="2">
        <v>1</v>
      </c>
    </row>
    <row r="14">
      <c r="A14" s="2" t="inlineStr">
        <is>
          <t>ZONA OCCIDENTE</t>
        </is>
      </c>
      <c r="B14" s="2">
        <v>3</v>
      </c>
    </row>
    <row r="15">
      <c r="A15" s="2" t="inlineStr">
        <is>
          <t>ZONA SURORIENTE</t>
        </is>
      </c>
      <c r="B15" s="2">
        <v>1</v>
      </c>
    </row>
  </sheetData>
</worksheet>
</file>

<file path=xl/worksheets/sheet1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4.16" customWidth="1"/>
    <col min="2" max="2" width="41.536" customWidth="1"/>
    <col min="3" max="3" width="28.791999999999998" customWidth="1"/>
    <col min="5" max="5" width="21.003999999999998" customWidth="1"/>
  </cols>
  <sheetData>
    <row r="1">
      <c r="A1" s="1" t="inlineStr">
        <is>
          <t>🚦</t>
        </is>
      </c>
      <c r="B1" s="1" t="inlineStr">
        <is>
          <t>No Caso</t>
        </is>
      </c>
      <c r="C1" s="1" t="inlineStr">
        <is>
          <t>SLA Vencido</t>
        </is>
      </c>
      <c r="D1" s="1" t="inlineStr">
        <is>
          <t>Resumen</t>
        </is>
      </c>
      <c r="E1" s="1" t="inlineStr">
        <is>
          <t>Estado</t>
        </is>
      </c>
      <c r="F1" s="1" t="inlineStr">
        <is>
          <t>Descripción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Organización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Tiempo Incumplimiento previsto</t>
        </is>
      </c>
    </row>
    <row r="2">
      <c r="A2" s="2" t="inlineStr">
        <is>
          <t>🔴</t>
        </is>
      </c>
      <c r="B2" s="3" t="str">
        <f>HYPERLINK("https://compensar-smartit.onbmc.com/smartit/app/#/incident/IDGGSWY0I24JCAT7T48GT7T48GAF6X","INC000000150832")</f>
        <v>INC000000150832</v>
      </c>
      <c r="C2" s="2" t="inlineStr">
        <is>
          <t>Si</t>
        </is>
      </c>
      <c r="D2" s="2" t="inlineStr">
        <is>
          <t>ERROR EN EL APLICATIVO SAP AL MOMENTO DE CONSULTAR HISTORIAL CLICNICA DE PACIENTE</t>
        </is>
      </c>
      <c r="E2" s="2" t="inlineStr">
        <is>
          <t>En curso</t>
        </is>
      </c>
      <c r="F2" s="2" t="inlineStr">
        <is>
          <t>Usuaria: Angela Maria Sanchez Guevara
Informa: Usuaria reporta error en el aplicativo SAP al momento de consultar historial clínica en SAP y después de dar clic en aceptar el error las casa completamente del aplicativo SAP.
Teléfono: 3134905241
Ubicación: FACATATIVA PISO 3 CONSULTORIO 1
Tiempo: 11:44 07/07/2026
Impacto:  SAP
Evidencias: Se adjunta evidencia para cierre de caso</t>
        </is>
      </c>
      <c r="G2" s="2" t="inlineStr">
        <is>
          <t>SERVICIOS DE TECNOLOGIA-APLICACIONES DE NEGOCIO-ERROR FUNCIONALIDAD APLICACION</t>
        </is>
      </c>
      <c r="H2" s="2" t="inlineStr">
        <is>
          <t>Telefono</t>
        </is>
      </c>
      <c r="I2" s="2" t="inlineStr">
        <is>
          <t>Baja</t>
        </is>
      </c>
      <c r="J2" s="4">
        <v>46210.51008101852</v>
      </c>
      <c r="K2" s="2" t="inlineStr">
        <is>
          <t>NICK STEVE TRIANA LOPEZ</t>
        </is>
      </c>
      <c r="L2" s="2" t="inlineStr">
        <is>
          <t>SPT ZONA OCCIDENTE</t>
        </is>
      </c>
      <c r="M2" s="2" t="inlineStr">
        <is>
          <t>SERVICIOS DE TI</t>
        </is>
      </c>
      <c r="N2" s="2" t="inlineStr">
        <is>
          <t>SWPR136 SAP</t>
        </is>
      </c>
      <c r="O2" s="2" t="inlineStr">
        <is>
          <t>SALUD</t>
        </is>
      </c>
      <c r="P2" s="2"/>
      <c r="Q2" s="2" t="inlineStr">
        <is>
          <t>IDGGSWY0I24JCAT7T48GT7T48GAF6X</t>
        </is>
      </c>
      <c r="R2" s="2" t="inlineStr">
        <is>
          <t>c) 11-30</t>
        </is>
      </c>
      <c r="S2" s="2" t="inlineStr">
        <is>
          <t>-</t>
        </is>
      </c>
      <c r="T2" s="2" t="inlineStr">
        <is>
          <t>-</t>
        </is>
      </c>
    </row>
    <row r="3">
      <c r="A3" s="2" t="inlineStr">
        <is>
          <t>🔴</t>
        </is>
      </c>
      <c r="B3" s="3" t="str">
        <f>HYPERLINK("https://compensar-smartit.onbmc.com/smartit/app/#/incident/IDGGSWY0I24JCAT7UV54T7UV54P57L","INC000000150882")</f>
        <v>INC000000150882</v>
      </c>
      <c r="C3" s="2" t="inlineStr">
        <is>
          <t>Si</t>
        </is>
      </c>
      <c r="D3" s="2" t="inlineStr">
        <is>
          <t>EQUIPO SIN CONEXION A INTERNET</t>
        </is>
      </c>
      <c r="E3" s="2" t="inlineStr">
        <is>
          <t>En curso</t>
        </is>
      </c>
      <c r="F3" s="2" t="inlineStr">
        <is>
          <t>Usuario: LUZ DARY BENAVIDES CHAVARRO
Informa: La usuaria reporta que desde el día anterior el equipo permanece sin conexión a la red corporativa ni acceso a Internet. Se requiere realizar la validación de la conectividad física y lógica del punto de red asociado al equipo.
SEGUNDO NUMERO DE CONTACTO
3005157621
Ubicación: Cajicá, Sede Campestre, piso 1
Tiempo: 15:08 07/07/2026
Impacto: Usuarios afectados: 1
Placa de equipo: No especificada
Datos adicionales:
- Switch: 25808
- Puerto: 4
Evidencias:
1. Se recibe reporte de falta de conectividad a la red e Internet.
2. La usuaria informa que la novedad se presenta desde el día anterior.
3. Se valida la información suministrada por la usuaria.
4. Se identifica el punto de red asociado al switch 25808, puerto 4.
5. Se requiere validar el estado del puerto y la conectividad de red.
6. Se documenta la novedad reportada.
7. Se remite el caso para la validación correspondiente.</t>
        </is>
      </c>
      <c r="G3" s="2" t="inlineStr">
        <is>
          <t>SERVICIOS DE TECNOLOGIA-SOPORTE EQUIPOS DE COMPUTO-FALLA</t>
        </is>
      </c>
      <c r="H3" s="2" t="inlineStr">
        <is>
          <t>Telefono</t>
        </is>
      </c>
      <c r="I3" s="2" t="inlineStr">
        <is>
          <t>Baja</t>
        </is>
      </c>
      <c r="J3" s="4">
        <v>46211.30482638889</v>
      </c>
      <c r="K3" s="2" t="inlineStr">
        <is>
          <t>MIGUEL JOSE NUÑEZ MARQUEZ</t>
        </is>
      </c>
      <c r="L3" s="2" t="inlineStr">
        <is>
          <t>ZONA NORTE</t>
        </is>
      </c>
      <c r="M3" s="2" t="inlineStr">
        <is>
          <t>SERVICIOS DE TI</t>
        </is>
      </c>
      <c r="N3" s="2" t="inlineStr">
        <is>
          <t>SISTEMA OPERATIVO WINDOWS</t>
        </is>
      </c>
      <c r="O3" s="2" t="inlineStr">
        <is>
          <t>BIENESTAR Y DESARROLLO SOCIAL</t>
        </is>
      </c>
      <c r="P3" s="2" t="inlineStr">
        <is>
          <t>SOLUCION DEFINITIVA</t>
        </is>
      </c>
      <c r="Q3" s="2" t="inlineStr">
        <is>
          <t>IDGGSWY0I24JCAT7UV54T7UV54P57L</t>
        </is>
      </c>
      <c r="R3" s="2" t="inlineStr">
        <is>
          <t>c) 11-30</t>
        </is>
      </c>
      <c r="S3" s="2" t="inlineStr">
        <is>
          <t>-</t>
        </is>
      </c>
      <c r="T3" s="2" t="inlineStr">
        <is>
          <t>-</t>
        </is>
      </c>
    </row>
    <row r="4">
      <c r="A4" s="2" t="inlineStr">
        <is>
          <t>🟢</t>
        </is>
      </c>
      <c r="B4" s="3" t="str">
        <f>HYPERLINK("https://compensar-smartit.onbmc.com/smartit/app/#/incident/IDGH043EBA7IUAT7VMI1T7VMI1K5VU","INC000000151204")</f>
        <v>INC000000151204</v>
      </c>
      <c r="C4" s="2" t="inlineStr">
        <is>
          <t>No</t>
        </is>
      </c>
      <c r="D4" s="2" t="inlineStr">
        <is>
          <t>DESCARTES DE PRIMER NIVEL SEDE CHIA SAN ROQUE</t>
        </is>
      </c>
      <c r="E4" s="2" t="inlineStr">
        <is>
          <t>Pendiente</t>
        </is>
      </c>
      <c r="F4" s="2" t="inlineStr">
        <is>
          <t>Usuario: (Leonardo Abello) - NOC Network Operations Center
Informa: Usuario solicita descartes de primer nivel para la sede de CHIA SAN ROQUE.
Cedula: 1049619446
Celular: 6018418844
Ubicación: CHIA SAN ROQUE
Numero de activo del equipo AP-CHIA-SR-04 S/N: Q2LD-58UZ-4Z4R
Impacto: RED</t>
        </is>
      </c>
      <c r="G4" s="2" t="inlineStr">
        <is>
          <t>SERVICIOS DE TECNOLOGIA-REDES-FALLA CLIENTE RED INALAMBRICA</t>
        </is>
      </c>
      <c r="H4" s="2" t="inlineStr">
        <is>
          <t>Chat</t>
        </is>
      </c>
      <c r="I4" s="2" t="inlineStr">
        <is>
          <t>Baja</t>
        </is>
      </c>
      <c r="J4" s="4">
        <v>46211.706342592595</v>
      </c>
      <c r="K4" s="2" t="inlineStr">
        <is>
          <t>MIGUEL JOSE NUÑEZ MARQUEZ</t>
        </is>
      </c>
      <c r="L4" s="2" t="inlineStr">
        <is>
          <t>SPT ZONA NORTE</t>
        </is>
      </c>
      <c r="M4" s="2" t="inlineStr">
        <is>
          <t>SERVICIOS DE TI</t>
        </is>
      </c>
      <c r="N4" s="2" t="inlineStr">
        <is>
          <t>INTERNET</t>
        </is>
      </c>
      <c r="O4" s="2" t="inlineStr">
        <is>
          <t>SALUD</t>
        </is>
      </c>
      <c r="P4" s="2"/>
      <c r="Q4" s="2" t="inlineStr">
        <is>
          <t>IDGH043EBA7IUAT7VMI1T7VMI1K5VU</t>
        </is>
      </c>
      <c r="R4" s="2" t="inlineStr">
        <is>
          <t>c) 11-30</t>
        </is>
      </c>
      <c r="S4" s="2" t="inlineStr">
        <is>
          <t>-</t>
        </is>
      </c>
      <c r="T4" s="2" t="inlineStr">
        <is>
          <t>-</t>
        </is>
      </c>
    </row>
    <row r="5">
      <c r="A5" s="2" t="inlineStr">
        <is>
          <t>🟢</t>
        </is>
      </c>
      <c r="B5" s="3" t="str">
        <f>HYPERLINK("https://compensar-smartit.onbmc.com/smartit/app/#/incident/AGGH043EBA7IUAT7ZGO5T7ZGO51TNF","INC000000151527")</f>
        <v>INC000000151527</v>
      </c>
      <c r="C5" s="2" t="inlineStr">
        <is>
          <t>No</t>
        </is>
      </c>
      <c r="D5" s="2" t="inlineStr">
        <is>
          <t>Otras Fallas</t>
        </is>
      </c>
      <c r="E5" s="2" t="inlineStr">
        <is>
          <t>Pendiente</t>
        </is>
      </c>
      <c r="F5" s="2" t="inlineStr">
        <is>
          <t>Ubicación para atención del Servicio: BLOQUE F TORRE F PISO 1 BODEGA - SALONES DE CAPACITACION
Número de contacto para la atención del servicio: 3103242327
Frente: BIENESTAR Y DESARROLLO SOCIAL
Afectación: OTRO SERVICIO
Nombre del Servicio Afectado: ELIANA SALAZAR PERDOMO
Nombre de equipo (inventario o placa): C023767
Descripción del incidente o falla: Cordial saludo,
A raíz del cambio de equipo realizado, evidencié que no quedaron instaladas las impresoras de color y blanco y negro que anteriormente aparecían de forma directa en mi equipo y que utilizo para el desarrollo de mis funciones.
Agradezco su apoyo con la instalación y configuración de estas impresoras, ya que requiero tener acceso directo a ellas para el cumplimiento de mis actividades diarias.
Quedo atenta a su gestión y a cualquier información adicional que requieran.
Cordialmente,
Eliana Salazar Perdomo
</t>
        </is>
      </c>
      <c r="G5" s="2" t="inlineStr">
        <is>
          <t>SERVICIOS DE TECNOLOGIA-GESTION DE APLICACIONES-FALLA</t>
        </is>
      </c>
      <c r="H5" s="2" t="inlineStr">
        <is>
          <t>Portal - Web</t>
        </is>
      </c>
      <c r="I5" s="2" t="inlineStr">
        <is>
          <t>Baja</t>
        </is>
      </c>
      <c r="J5" s="4">
        <v>46213.631840277776</v>
      </c>
      <c r="K5" s="2" t="inlineStr">
        <is>
          <t>KEVIN ALEXIS GARCIA GUARACA</t>
        </is>
      </c>
      <c r="L5" s="2" t="inlineStr">
        <is>
          <t>ZONA CENTRO</t>
        </is>
      </c>
      <c r="M5" s="2" t="inlineStr">
        <is>
          <t>SERVICIOS DE TI</t>
        </is>
      </c>
      <c r="N5" s="2"/>
      <c r="O5" s="2" t="inlineStr">
        <is>
          <t>BIENESTAR Y DESARROLLO SOCIAL</t>
        </is>
      </c>
      <c r="P5" s="2"/>
      <c r="Q5" s="2" t="inlineStr">
        <is>
          <t>AGGH043EBA7IUAT7ZGO5T7ZGO51TNF</t>
        </is>
      </c>
      <c r="R5" s="2" t="inlineStr">
        <is>
          <t>b) 5-10</t>
        </is>
      </c>
      <c r="S5" s="2" t="inlineStr">
        <is>
          <t>21/07/2026 18:00:00</t>
        </is>
      </c>
      <c r="T5" s="2" t="inlineStr">
        <is>
          <t>-</t>
        </is>
      </c>
    </row>
    <row r="6">
      <c r="A6" s="2" t="inlineStr">
        <is>
          <t>🟢</t>
        </is>
      </c>
      <c r="B6" s="3" t="str">
        <f>HYPERLINK("https://compensar-smartit.onbmc.com/smartit/app/#/incident/IDGGSWY0I24JCAT8GJHRT8GJHRRBGA","INC000000152002")</f>
        <v>INC000000152002</v>
      </c>
      <c r="C6" s="2" t="inlineStr">
        <is>
          <t>No</t>
        </is>
      </c>
      <c r="D6" s="2" t="inlineStr">
        <is>
          <t>Equipo fuera de dominio</t>
        </is>
      </c>
      <c r="E6" s="2" t="inlineStr">
        <is>
          <t>Pendiente</t>
        </is>
      </c>
      <c r="F6" s="2" t="inlineStr">
        <is>
          <t>Usuari@:Leisy Consuelo Rincon Figueroa
Informa: El usuario se comunica indicando que no le permite ingresar a el equipo se encuentra fuera de dominio 
Ubicación:casa 
Tiempo:10:49 a. m. 14/07/2026
Impacto: Usuarios afectados:1</t>
        </is>
      </c>
      <c r="G6" s="2" t="inlineStr">
        <is>
          <t>SERVICIOS DE TECNOLOGIA-APLICACIONES DE NEGOCIO-FALLA</t>
        </is>
      </c>
      <c r="H6" s="2" t="inlineStr">
        <is>
          <t>Telefono</t>
        </is>
      </c>
      <c r="I6" s="2" t="inlineStr">
        <is>
          <t>Baja</t>
        </is>
      </c>
      <c r="J6" s="4">
        <v>46217.45663194444</v>
      </c>
      <c r="K6" s="2" t="inlineStr">
        <is>
          <t>SANTIAGO PERDOMO ACERO</t>
        </is>
      </c>
      <c r="L6" s="2" t="inlineStr">
        <is>
          <t>ZONA CENTRO</t>
        </is>
      </c>
      <c r="M6" s="2" t="inlineStr">
        <is>
          <t>SERVICIOS DE TI</t>
        </is>
      </c>
      <c r="N6" s="2" t="inlineStr">
        <is>
          <t>SISTEMA OPERATIVO WINDOWS</t>
        </is>
      </c>
      <c r="O6" s="2" t="inlineStr">
        <is>
          <t>BIENESTAR Y DESARROLLO SOCIAL</t>
        </is>
      </c>
      <c r="P6" s="2"/>
      <c r="Q6" s="2" t="inlineStr">
        <is>
          <t>IDGGSWY0I24JCAT8GJHRT8GJHRRBGA</t>
        </is>
      </c>
      <c r="R6" s="2" t="inlineStr">
        <is>
          <t>b) 5-10</t>
        </is>
      </c>
      <c r="S6" s="2" t="inlineStr">
        <is>
          <t>22/07/2026 16:00:00</t>
        </is>
      </c>
      <c r="T6" s="2" t="inlineStr">
        <is>
          <t>-</t>
        </is>
      </c>
    </row>
    <row r="7">
      <c r="A7" s="2" t="inlineStr">
        <is>
          <t>🟢</t>
        </is>
      </c>
      <c r="B7" s="3" t="str">
        <f>HYPERLINK("https://compensar-smartit.onbmc.com/smartit/app/#/incident/AGGIBMZTENYZ6AT8GP5DT8GP5D3HT5","INC000000152155")</f>
        <v>INC000000152155</v>
      </c>
      <c r="C7" s="2" t="inlineStr">
        <is>
          <t>No</t>
        </is>
      </c>
      <c r="D7" s="2" t="inlineStr">
        <is>
          <t>Falla en Equipo</t>
        </is>
      </c>
      <c r="E7" s="2" t="inlineStr">
        <is>
          <t>Pendiente</t>
        </is>
      </c>
      <c r="F7" s="2" t="inlineStr">
        <is>
          <t>Ubicación para atención del Servicio: AGENCIA COLOCACION EMPLEO BOSA PISO 1 ADMINISTRACION
Número de contacto para la atención del servicio: 3114619355
Frente: BIENESTAR Y DESARROLLO SOCIAL
Falla: DAÑO FISICO
¿Cual es el dispositivo que presenta la falla?: [CABLES, CARGADOR/ADAPTADOR CORRIENTE]
Nombre de equipo (inventario o placa): P009413
Descripción del incidente o falla: &lt;AGENTE VIRTUAL&gt; el cargador del equipo portátil presenta fallas no carga
</t>
        </is>
      </c>
      <c r="G7" s="2" t="inlineStr">
        <is>
          <t>SERVICIOS DE TECNOLOGIA-SOPORTE EQUIPOS DE COMPUTO-FALLA</t>
        </is>
      </c>
      <c r="H7" s="2" t="inlineStr">
        <is>
          <t>ChatBot</t>
        </is>
      </c>
      <c r="I7" s="2" t="inlineStr">
        <is>
          <t>Baja</t>
        </is>
      </c>
      <c r="J7" s="4">
        <v>46217.69295138889</v>
      </c>
      <c r="K7" s="2" t="inlineStr">
        <is>
          <t>ANDERSON JULIAN RATIVA RAMIREZ</t>
        </is>
      </c>
      <c r="L7" s="2" t="inlineStr">
        <is>
          <t>SPT ZONA ORIENTE</t>
        </is>
      </c>
      <c r="M7" s="2" t="inlineStr">
        <is>
          <t>SERVICIOS DE TI</t>
        </is>
      </c>
      <c r="N7" s="2"/>
      <c r="O7" s="2" t="inlineStr">
        <is>
          <t>BIENESTAR Y DESARROLLO SOCIAL</t>
        </is>
      </c>
      <c r="P7" s="2"/>
      <c r="Q7" s="2" t="inlineStr">
        <is>
          <t>AGGIBMZTENYZ6AT8GP5DT8GP5D3HT5</t>
        </is>
      </c>
      <c r="R7" s="2" t="inlineStr">
        <is>
          <t>b) 5-10</t>
        </is>
      </c>
      <c r="S7" s="2" t="inlineStr">
        <is>
          <t>24/07/2026 18:00:00</t>
        </is>
      </c>
      <c r="T7" s="2" t="inlineStr">
        <is>
          <t>-</t>
        </is>
      </c>
    </row>
    <row r="8">
      <c r="A8" s="2" t="inlineStr">
        <is>
          <t>🔴</t>
        </is>
      </c>
      <c r="B8" s="3" t="str">
        <f>HYPERLINK("https://compensar-smartit.onbmc.com/smartit/app/#/incident/IDGIBMZTENYZ6AT8HZBJT8HZBJYRW0","INC000000152308")</f>
        <v>INC000000152308</v>
      </c>
      <c r="C8" s="2" t="inlineStr">
        <is>
          <t>Si</t>
        </is>
      </c>
      <c r="D8" s="2" t="inlineStr">
        <is>
          <t>C006506 - NO PERMITE ABRIR TEMAS Y WINDOWS APP</t>
        </is>
      </c>
      <c r="E8" s="2" t="inlineStr">
        <is>
          <t>En curso</t>
        </is>
      </c>
      <c r="F8" s="2" t="inlineStr">
        <is>
          <t>Usuario: Frank Eddy Villegas Rodriguez 
Informa: No le permite abrir teams y Windows app en el equipo corporativo
genera error no se encuentra un complemento para ejecutar el aplicativo, realice la reinstalación de la app
Ubicación: Teletrabajo EV  -  Calle 13 #30 -163 Conjunto alcaparros ciudad verde Soacha  torre 24 apt 609092
Tiempo: 8:57 a. m. 
Impacto: 1 
Evidencias:
1. No es posible la conexión remota por asistencia generar erro 1002, debido a que no le abre teams, no es posible tomar control del equipo</t>
        </is>
      </c>
      <c r="G8" s="2" t="inlineStr">
        <is>
          <t>SERVICIOS DE TECNOLOGIA-SOPORTE EQUIPOS DE COMPUTO-FALLA</t>
        </is>
      </c>
      <c r="H8" s="2" t="inlineStr">
        <is>
          <t>Telefono</t>
        </is>
      </c>
      <c r="I8" s="2" t="inlineStr">
        <is>
          <t>Baja</t>
        </is>
      </c>
      <c r="J8" s="4">
        <v>46218.37938657407</v>
      </c>
      <c r="K8" s="2" t="inlineStr">
        <is>
          <t>MICHAEL STEVEN FRAILE GOMEZ</t>
        </is>
      </c>
      <c r="L8" s="2" t="inlineStr">
        <is>
          <t>SPT ZONA SURORIENTE</t>
        </is>
      </c>
      <c r="M8" s="2" t="inlineStr">
        <is>
          <t>SERVICIOS DE TI</t>
        </is>
      </c>
      <c r="N8" s="2" t="inlineStr">
        <is>
          <t>C006506</t>
        </is>
      </c>
      <c r="O8" s="2" t="inlineStr">
        <is>
          <t>SALUD</t>
        </is>
      </c>
      <c r="P8" s="2"/>
      <c r="Q8" s="2" t="inlineStr">
        <is>
          <t>IDGIBMZTENYZ6AT8HZBJT8HZBJYRW0</t>
        </is>
      </c>
      <c r="R8" s="2" t="inlineStr">
        <is>
          <t>b) 5-10</t>
        </is>
      </c>
      <c r="S8" s="2" t="inlineStr">
        <is>
          <t>-</t>
        </is>
      </c>
      <c r="T8" s="2" t="inlineStr">
        <is>
          <t>-</t>
        </is>
      </c>
    </row>
    <row r="9">
      <c r="A9" s="2" t="inlineStr">
        <is>
          <t>🟢</t>
        </is>
      </c>
      <c r="B9" s="3" t="str">
        <f>HYPERLINK("https://compensar-smartit.onbmc.com/smartit/app/#/incident/IDGIBMZTENYZ6AT8HZOHT8HZOHZPSH","INC000000152320")</f>
        <v>INC000000152320</v>
      </c>
      <c r="C9" s="2" t="inlineStr">
        <is>
          <t>No</t>
        </is>
      </c>
      <c r="D9" s="2" t="inlineStr">
        <is>
          <t>Falla en el funcionamiento de dispositivos USB</t>
        </is>
      </c>
      <c r="E9" s="2" t="inlineStr">
        <is>
          <t>Pendiente</t>
        </is>
      </c>
      <c r="F9" s="2" t="inlineStr">
        <is>
          <t>Usuario: Johan Stiven Cardenas Sanchez
Teléfono: 3007451518
CC: 1011082600
Informa: El usuario se comunica con la Mesa de Servicio indicando que ningún accesorio conectado por los puertos USB del equipo funciona correctamente.
Ubicación: Movilidad
Tiempo: 6:38 a. m. 15/07/2026
Impacto: El usuario no puede utilizar dispositivos USB necesarios para el desarrollo de sus actividades.
Placa de equipo: P0165225
Evidencias:
1. Se solicitaron evidencias del equipo completo y del inconveniente presentado.
2. Se recopiló la información suministrada por el usuario.
3. Se escaló el caso para la respectiva validación por parte del grupo responsable.</t>
        </is>
      </c>
      <c r="G9" s="2" t="inlineStr">
        <is>
          <t>SERVICIOS DE TECNOLOGIA-SOPORTE EQUIPOS DE COMPUTO-FALLA</t>
        </is>
      </c>
      <c r="H9" s="2" t="inlineStr">
        <is>
          <t>Telefono</t>
        </is>
      </c>
      <c r="I9" s="2" t="inlineStr">
        <is>
          <t>Baja</t>
        </is>
      </c>
      <c r="J9" s="4">
        <v>46218.38821759259</v>
      </c>
      <c r="K9" s="2" t="inlineStr">
        <is>
          <t>GERLYN RENTERIA OROZCO</t>
        </is>
      </c>
      <c r="L9" s="2" t="inlineStr">
        <is>
          <t>ZONA CENTRO</t>
        </is>
      </c>
      <c r="M9" s="2" t="inlineStr">
        <is>
          <t>SERVICIOS DE TI</t>
        </is>
      </c>
      <c r="N9" s="2"/>
      <c r="O9" s="2" t="inlineStr">
        <is>
          <t>BIENESTAR Y DESARROLLO SOCIAL</t>
        </is>
      </c>
      <c r="P9" s="2"/>
      <c r="Q9" s="2" t="inlineStr">
        <is>
          <t>IDGIBMZTENYZ6AT8HZOHT8HZOHZPSH</t>
        </is>
      </c>
      <c r="R9" s="2" t="inlineStr">
        <is>
          <t>b) 5-10</t>
        </is>
      </c>
      <c r="S9" s="2" t="inlineStr">
        <is>
          <t>23/07/2026 18:00:00</t>
        </is>
      </c>
      <c r="T9" s="2" t="inlineStr">
        <is>
          <t>-</t>
        </is>
      </c>
    </row>
    <row r="10">
      <c r="A10" s="2" t="inlineStr">
        <is>
          <t>🟢</t>
        </is>
      </c>
      <c r="B10" s="3" t="str">
        <f>HYPERLINK("https://compensar-smartit.onbmc.com/smartit/app/#/incident/IDGIBMZTENYZ6AT8IHLVT8IHLV0R5X","INC000000152361")</f>
        <v>INC000000152361</v>
      </c>
      <c r="C10" s="2" t="inlineStr">
        <is>
          <t>No</t>
        </is>
      </c>
      <c r="D10" s="2" t="inlineStr">
        <is>
          <t>Impresión en cola desde el aplicativo SAP.</t>
        </is>
      </c>
      <c r="E10" s="2" t="inlineStr">
        <is>
          <t>Pendiente</t>
        </is>
      </c>
      <c r="F10" s="2" t="inlineStr">
        <is>
          <t>Usuario: Iveth Lizeth Guevara Lopez
CC: 1000706259
Tel: 3015196027
Informa: La funcionaria indica que no le permite imprimir desde el aplicativo SAP, ya que al enviar los documentos a impresión estos quedan en estado "impresión en cola", impidiendo que el proceso se complete correctamente.
Ubicación: CUR - Torre Piso: 1 Area: Tanquilla PAI
Tiempo: 12:07 p. m. 15/07/2026
Impacto: 1
Evidencias: Se brinda soporte de primer nivel, realizando las validaciones correspondientes sobre la novedad reportada. Como parte de las pruebas, se eliminan los trabajos de impresión que se encontraban en cola y posteriormente se reinicia el equipo corporativo para restablecer el servicio de impresión. Una vez finalizado el reinicio, se realizan nuevamente las pruebas desde el aplicativo SAP; sin embargo, la novedad persiste, ya que las impresiones continúan quedando en estado "impresión en cola", sin completarse el proceso. Debido a la persistencia del inconveniente, se escala el caso al área encargada para que realice las validaciones correspondientes y determine la causa de la falla. Se deja registro de las actividades realizadas y del escalamiento para el respectivo seguimiento.</t>
        </is>
      </c>
      <c r="G10" s="2" t="inlineStr">
        <is>
          <t>SERVICIOS DE TECNOLOGIA-APLICACIONES DE NEGOCIO-FALLA</t>
        </is>
      </c>
      <c r="H10" s="2" t="inlineStr">
        <is>
          <t>Telefono</t>
        </is>
      </c>
      <c r="I10" s="2" t="inlineStr">
        <is>
          <t>Baja</t>
        </is>
      </c>
      <c r="J10" s="4">
        <v>46218.52103009259</v>
      </c>
      <c r="K10" s="2" t="inlineStr">
        <is>
          <t>DILAN SAMIR LOPEZ ARAUJO</t>
        </is>
      </c>
      <c r="L10" s="2" t="inlineStr">
        <is>
          <t>ZONA CENTRO</t>
        </is>
      </c>
      <c r="M10" s="2" t="inlineStr">
        <is>
          <t>SERVICIOS DE TI</t>
        </is>
      </c>
      <c r="N10" s="2" t="inlineStr">
        <is>
          <t>C91053464</t>
        </is>
      </c>
      <c r="O10" s="2" t="inlineStr">
        <is>
          <t>BIENESTAR Y DESARROLLO SOCIAL</t>
        </is>
      </c>
      <c r="P10" s="2"/>
      <c r="Q10" s="2" t="inlineStr">
        <is>
          <t>IDGIBMZTENYZ6AT8IHLVT8IHLV0R5X</t>
        </is>
      </c>
      <c r="R10" s="2" t="inlineStr">
        <is>
          <t>b) 5-10</t>
        </is>
      </c>
      <c r="S10" s="2" t="inlineStr">
        <is>
          <t>21/07/2026 18:00:00</t>
        </is>
      </c>
      <c r="T10" s="2" t="inlineStr">
        <is>
          <t>-</t>
        </is>
      </c>
    </row>
    <row r="11">
      <c r="A11" s="2" t="inlineStr">
        <is>
          <t>🟠</t>
        </is>
      </c>
      <c r="B11" s="3" t="str">
        <f>HYPERLINK("https://compensar-smartit.onbmc.com/smartit/app/#/incident/IDGIBMZTENYZ6AT8ITV4T8ITV4UWMR","INC000000152417")</f>
        <v>INC000000152417</v>
      </c>
      <c r="C11" s="2" t="inlineStr">
        <is>
          <t>No</t>
        </is>
      </c>
      <c r="D11" s="2" t="inlineStr">
        <is>
          <t>Falla Ingreso al Equipo - Fallas reparacion</t>
        </is>
      </c>
      <c r="E11" s="2" t="inlineStr">
        <is>
          <t>En curso</t>
        </is>
      </c>
      <c r="F11" s="2" t="inlineStr">
        <is>
          <t>Usuario: Yesica Torres 
Informa: No puede iniciar sesión aparece la contraseña de BitLocker y después aparece que esta recuperando pero se reinicia y vuelve al mismo proceso, se queda en pantalla azul 
ACTIVO: P009822
📍 Ubicación: Movilidad
Tiempo: 20:06
Impacto: 1</t>
        </is>
      </c>
      <c r="G11" s="2" t="inlineStr">
        <is>
          <t>SERVICIOS DE TECNOLOGIA-SOPORTE EQUIPOS DE COMPUTO-FALLA DEL SISTEMA OPERATIVO</t>
        </is>
      </c>
      <c r="H11" s="2" t="inlineStr">
        <is>
          <t>Telefono</t>
        </is>
      </c>
      <c r="I11" s="2" t="inlineStr">
        <is>
          <t>Baja</t>
        </is>
      </c>
      <c r="J11" s="4">
        <v>46218.84511574074</v>
      </c>
      <c r="K11" s="2" t="inlineStr">
        <is>
          <t>DILAN SAMIR LOPEZ ARAUJO</t>
        </is>
      </c>
      <c r="L11" s="2" t="inlineStr">
        <is>
          <t>ZONA CENTRO</t>
        </is>
      </c>
      <c r="M11" s="2" t="inlineStr">
        <is>
          <t>SERVICIOS DE TI</t>
        </is>
      </c>
      <c r="N11" s="2" t="inlineStr">
        <is>
          <t>P009822</t>
        </is>
      </c>
      <c r="O11" s="2" t="inlineStr">
        <is>
          <t>CLIENTES</t>
        </is>
      </c>
      <c r="P11" s="2"/>
      <c r="Q11" s="2" t="inlineStr">
        <is>
          <t>IDGIBMZTENYZ6AT8ITV4T8ITV4UWMR</t>
        </is>
      </c>
      <c r="R11" s="2" t="inlineStr">
        <is>
          <t>a) 0-4</t>
        </is>
      </c>
      <c r="S11" s="2" t="inlineStr">
        <is>
          <t>-</t>
        </is>
      </c>
      <c r="T11" s="2" t="inlineStr">
        <is>
          <t>21/07/2026 09:09:42</t>
        </is>
      </c>
    </row>
    <row r="12">
      <c r="A12" s="2" t="inlineStr">
        <is>
          <t>🟢</t>
        </is>
      </c>
      <c r="B12" s="3" t="str">
        <f>HYPERLINK("https://compensar-smartit.onbmc.com/smartit/app/#/incident/AGGIBMZTENYZ6AT8JSVET8JSVE0ULF","INC000000152450")</f>
        <v>INC000000152450</v>
      </c>
      <c r="C12" s="2" t="inlineStr">
        <is>
          <t>No</t>
        </is>
      </c>
      <c r="D12" s="2" t="inlineStr">
        <is>
          <t>Falla en Equipo</t>
        </is>
      </c>
      <c r="E12" s="2" t="inlineStr">
        <is>
          <t>Pendiente</t>
        </is>
      </c>
      <c r="F12" s="2" t="inlineStr">
        <is>
          <t>Ubicación para atención del Servicio: BLOQUE F TORRE F PISO 3 CONVENIOS COMEDORES ESCOLARES
Número de contacto para la atención del servicio: 3107550554
Frente: BIENESTAR Y DESARROLLO SOCIAL
Falla: NO ENCIENDE/NO FUNCIONA
¿Cual es el dispositivo que presenta la falla?: [TECLADO, MOUSE]
Nombre de equipo (inventario o placa): 152800017794
Descripción del incidente o falla: BUEN DÍA, SE EVIDENCIA QUE LAS FLECHAS DEL TECLADO NO FUNCIONAN Y EL MOUSE NO TIENE ADECUADO FUNCIONAMIENTO , POR FAVOR COMUNICAR A CAROL GARCÍA , UBICAD@ EN LA DIRECCIÓN CALLE 59 A SUR # 75 B - 75, COLEGIO LA ESTANCIA - SAN ISIDRO LABRADOR (IED), AL NÚMERO CELULAR 3107550554, ACTIVO 152800017794 EN ELCASO DE REQUERIR CAMBIO DE LOS PERIFERICOS PARA LA ATENCION , POR FAVOR DEJAR IMPLEMENTO DE CONTINGENCIA PARA CONTINUIDAD DE LA OPERACION
</t>
        </is>
      </c>
      <c r="G12" s="2" t="inlineStr">
        <is>
          <t>SERVICIOS DE TECNOLOGIA-SOPORTE EQUIPOS DE COMPUTO-FALLA</t>
        </is>
      </c>
      <c r="H12" s="2" t="inlineStr">
        <is>
          <t>Portal - Web</t>
        </is>
      </c>
      <c r="I12" s="2" t="inlineStr">
        <is>
          <t>Baja</t>
        </is>
      </c>
      <c r="J12" s="4">
        <v>46219.36462962963</v>
      </c>
      <c r="K12" s="2" t="inlineStr">
        <is>
          <t>MICHAEL STEVEN FRAILE GOMEZ</t>
        </is>
      </c>
      <c r="L12" s="2" t="inlineStr">
        <is>
          <t>ZONA SURORIENTE</t>
        </is>
      </c>
      <c r="M12" s="2" t="inlineStr">
        <is>
          <t>SERVICIOS DE TI</t>
        </is>
      </c>
      <c r="N12" s="2"/>
      <c r="O12" s="2" t="inlineStr">
        <is>
          <t>BIENESTAR Y DESARROLLO SOCIAL</t>
        </is>
      </c>
      <c r="P12" s="2"/>
      <c r="Q12" s="2" t="inlineStr">
        <is>
          <t>AGGIBMZTENYZ6AT8JSVET8JSVE0ULF</t>
        </is>
      </c>
      <c r="R12" s="2" t="inlineStr">
        <is>
          <t>a) 0-4</t>
        </is>
      </c>
      <c r="S12" s="2" t="inlineStr">
        <is>
          <t>21/07/2026 17:00:00</t>
        </is>
      </c>
      <c r="T12" s="2" t="inlineStr">
        <is>
          <t>-</t>
        </is>
      </c>
    </row>
    <row r="13">
      <c r="A13" s="2" t="inlineStr">
        <is>
          <t>🟢</t>
        </is>
      </c>
      <c r="B13" s="3" t="str">
        <f>HYPERLINK("https://compensar-smartit.onbmc.com/smartit/app/#/incident/IDGIBMZTENYZ6AT80F1LT80F1LT7CI","INC000000152496")</f>
        <v>INC000000152496</v>
      </c>
      <c r="C13" s="2" t="inlineStr">
        <is>
          <t>No</t>
        </is>
      </c>
      <c r="D13" s="2" t="inlineStr">
        <is>
          <t>Asignación de citas fallida</t>
        </is>
      </c>
      <c r="E13" s="2" t="inlineStr">
        <is>
          <t>Pendiente</t>
        </is>
      </c>
      <c r="F13" s="2" t="inlineStr">
        <is>
          <t>Usuario: Anyela Andrea Buitrago Vargas
CC: 53135829
Tel: 3108712480
Informa: La colaboradora reporta que, al asignar una cita en SAP versión web, se genera un error. Indica que actualmente solo utiliza la versión web, ya que por el momento no cuenta con la versión de escritorio.
Se adjunta paso a paso.
Ubicación: Teletrabajo VPN
Tiempo: 6:30
Impacto: 1
Evidencias:</t>
        </is>
      </c>
      <c r="G13" s="2" t="inlineStr">
        <is>
          <t>SERVICIOS DE TECNOLOGIA-SOPORTE FUNCIONAL SAP VERTICAL SALUD-AGENDAMIENTO</t>
        </is>
      </c>
      <c r="H13" s="2" t="inlineStr">
        <is>
          <t>Telefono</t>
        </is>
      </c>
      <c r="I13" s="2" t="inlineStr">
        <is>
          <t>Baja</t>
        </is>
      </c>
      <c r="J13" s="4">
        <v>46219.55578703704</v>
      </c>
      <c r="K13" s="2" t="inlineStr">
        <is>
          <t>DANIEL ALEJANDRO BORDA MESTIZO</t>
        </is>
      </c>
      <c r="L13" s="2" t="inlineStr">
        <is>
          <t>ZONA CENTRO</t>
        </is>
      </c>
      <c r="M13" s="2" t="inlineStr">
        <is>
          <t>SERVICIOS DE TI</t>
        </is>
      </c>
      <c r="N13" s="2" t="inlineStr">
        <is>
          <t>SWPR136 SAP</t>
        </is>
      </c>
      <c r="O13" s="2" t="inlineStr">
        <is>
          <t>SALUD</t>
        </is>
      </c>
      <c r="P13" s="2"/>
      <c r="Q13" s="2" t="inlineStr">
        <is>
          <t>IDGIBMZTENYZ6AT80F1LT80F1LT7CI</t>
        </is>
      </c>
      <c r="R13" s="2" t="inlineStr">
        <is>
          <t>a) 0-4</t>
        </is>
      </c>
      <c r="S13" s="2" t="inlineStr">
        <is>
          <t>21/07/2026 21:00:00</t>
        </is>
      </c>
      <c r="T13" s="2" t="inlineStr">
        <is>
          <t>-</t>
        </is>
      </c>
    </row>
    <row r="14">
      <c r="A14" s="2" t="inlineStr">
        <is>
          <t>🟢</t>
        </is>
      </c>
      <c r="B14" s="3" t="str">
        <f>HYPERLINK("https://compensar-smartit.onbmc.com/smartit/app/#/incident/IDGGSWY0I24JCAT8JTMUT8JTMUVM36","INC000000152537")</f>
        <v>INC000000152537</v>
      </c>
      <c r="C14" s="2" t="inlineStr">
        <is>
          <t>No</t>
        </is>
      </c>
      <c r="D14" s="2" t="inlineStr">
        <is>
          <t>Falla pantalla</t>
        </is>
      </c>
      <c r="E14" s="2" t="inlineStr">
        <is>
          <t>Pendiente</t>
        </is>
      </c>
      <c r="F14" s="2" t="inlineStr">
        <is>
          <t>Usuario: YESSICA MELISSA SANCHEZ LIZARAZO
Informa:   que la pantalla titila como para apagarse , le indicaron validar controladores
Evidencias:   se valida remotamente se valida dirvers y controladores actualizados y actualización correcta 
CC:  1031159511
Tel:  3163836861
Ubicación:  CAJICA
Tiempo:  9am
Impacto:  1</t>
        </is>
      </c>
      <c r="G14" s="2" t="inlineStr">
        <is>
          <t>SERVICIOS DE TECNOLOGIA-SOPORTE EQUIPOS DE COMPUTO-FALLA</t>
        </is>
      </c>
      <c r="H14" s="2" t="inlineStr">
        <is>
          <t>Telefono</t>
        </is>
      </c>
      <c r="I14" s="2" t="inlineStr">
        <is>
          <t>Baja</t>
        </is>
      </c>
      <c r="J14" s="4">
        <v>46219.379375</v>
      </c>
      <c r="K14" s="2" t="inlineStr">
        <is>
          <t>MIGUEL JOSE NUÑEZ MARQUEZ</t>
        </is>
      </c>
      <c r="L14" s="2" t="inlineStr">
        <is>
          <t>ZONA NORTE</t>
        </is>
      </c>
      <c r="M14" s="2" t="inlineStr">
        <is>
          <t>SERVICIOS DE TI</t>
        </is>
      </c>
      <c r="N14" s="2" t="inlineStr">
        <is>
          <t>P024861</t>
        </is>
      </c>
      <c r="O14" s="2" t="inlineStr">
        <is>
          <t>BIENESTAR Y DESARROLLO SOCIAL</t>
        </is>
      </c>
      <c r="P14" s="2"/>
      <c r="Q14" s="2" t="inlineStr">
        <is>
          <t>IDGGSWY0I24JCAT8JTMUT8JTMUVM36</t>
        </is>
      </c>
      <c r="R14" s="2" t="inlineStr">
        <is>
          <t>a) 0-4</t>
        </is>
      </c>
      <c r="S14" s="2" t="inlineStr">
        <is>
          <t>21/07/2026 18:00:00</t>
        </is>
      </c>
      <c r="T14" s="2" t="inlineStr">
        <is>
          <t>-</t>
        </is>
      </c>
    </row>
    <row r="15">
      <c r="A15" s="2" t="inlineStr">
        <is>
          <t>🟢</t>
        </is>
      </c>
      <c r="B15" s="3" t="str">
        <f>HYPERLINK("https://compensar-smartit.onbmc.com/smartit/app/#/incident/AGGIBMZTENYZ6AT819JXT819JX8UOU","INC000000152653")</f>
        <v>INC000000152653</v>
      </c>
      <c r="C15" s="2" t="inlineStr">
        <is>
          <t>No</t>
        </is>
      </c>
      <c r="D15" s="2" t="inlineStr">
        <is>
          <t>Falla en Equipo</t>
        </is>
      </c>
      <c r="E15" s="2" t="inlineStr">
        <is>
          <t>Pendiente</t>
        </is>
      </c>
      <c r="F15" s="2" t="inlineStr">
        <is>
          <t>Ubicación para atención del Servicio: BLOQUE F TORRE F PISO 3 CONVENIOS COMEDORES ESCOLARES
Número de contacto para la atención del servicio: 3242445537
Frente: BIENESTAR Y DESARROLLO SOCIAL
Falla: NO ENCIENDE/NO FUNCIONA
¿Cual es el dispositivo que presenta la falla?: [PORTATIL/PC]
Nombre de equipo (inventario o placa): 176603
Descripción del incidente o falla: BUEN DÍA, SE SOLICITA VALIDAR WIFI PARA COMPARTIR INTERNET DEL PC DE MESA , POR FAVOR COMUNICAR A JUAN JOSE RUEDA, UBICAD@ EN LA DIRECCIÓN CALLE 59 SUR # 65 - 42, COLEGIO ROGELIO SALMONA (IED), AL NÚMERO CELULAR 3242445537, ACTIVO 176603 EN ELCASO DE REQUERIR CAMBIO DE LOS PERIFERICOS PARA LA ATENCION , POR FAVOR DEJAR IMPLEMENTO DE CONTINGENCIA PARA CONTINUIDAD DE LA OPERACION
</t>
        </is>
      </c>
      <c r="G15" s="2" t="inlineStr">
        <is>
          <t>SERVICIOS DE TECNOLOGIA-SOPORTE EQUIPOS DE COMPUTO-FALLA</t>
        </is>
      </c>
      <c r="H15" s="2" t="inlineStr">
        <is>
          <t>Portal - Web</t>
        </is>
      </c>
      <c r="I15" s="2" t="inlineStr">
        <is>
          <t>Baja</t>
        </is>
      </c>
      <c r="J15" s="4">
        <v>46220.30079861111</v>
      </c>
      <c r="K15" s="2" t="inlineStr">
        <is>
          <t>JEFFERSON ESCOBAR ALDANA</t>
        </is>
      </c>
      <c r="L15" s="2" t="inlineStr">
        <is>
          <t>ZONA SURORIENTE</t>
        </is>
      </c>
      <c r="M15" s="2" t="inlineStr">
        <is>
          <t>SERVICIOS DE TI</t>
        </is>
      </c>
      <c r="N15" s="2"/>
      <c r="O15" s="2" t="inlineStr">
        <is>
          <t>BIENESTAR Y DESARROLLO SOCIAL</t>
        </is>
      </c>
      <c r="P15" s="2"/>
      <c r="Q15" s="2" t="inlineStr">
        <is>
          <t>AGGIBMZTENYZ6AT819JXT819JX8UOU</t>
        </is>
      </c>
      <c r="R15" s="2" t="inlineStr">
        <is>
          <t>a) 0-4</t>
        </is>
      </c>
      <c r="S15" s="2" t="inlineStr">
        <is>
          <t>21/07/2026 16:00:00</t>
        </is>
      </c>
      <c r="T15" s="2" t="inlineStr">
        <is>
          <t>-</t>
        </is>
      </c>
    </row>
    <row r="16">
      <c r="A16" s="2" t="inlineStr">
        <is>
          <t>🟢</t>
        </is>
      </c>
      <c r="B16" s="3" t="str">
        <f>HYPERLINK("https://compensar-smartit.onbmc.com/smartit/app/#/incident/AGGIBMZTENYZ6AT81MZET81MZEMBZK","INC000000152663")</f>
        <v>INC000000152663</v>
      </c>
      <c r="C16" s="2" t="inlineStr">
        <is>
          <t>No</t>
        </is>
      </c>
      <c r="D16" s="2" t="inlineStr">
        <is>
          <t>Falla en Equipo</t>
        </is>
      </c>
      <c r="E16" s="2" t="inlineStr">
        <is>
          <t>Pendiente</t>
        </is>
      </c>
      <c r="F16" s="2" t="inlineStr">
        <is>
          <t>Ubicación para atención del Servicio: BLOQUE F TORRE F PISO 3 CONVENIOS COMEDORES ESCOLARES
Número de contacto para la atención del servicio: 3114965004
Frente: BIENESTAR Y DESARROLLO SOCIAL
Falla: NO ENCIENDE/NO FUNCIONA
¿Cual es el dispositivo que presenta la falla?: [CABLES, CARGADOR/ADAPTADOR CORRIENTE]
Nombre de equipo (inventario o placa): 152800003351
Descripción del incidente o falla: BUEN DÍA, CPU NO ENCIENDE, PARECE SER CABLE DE PODER QUE NO FUNCIONA, POR FAVOR COMUNICAR A BRIAN VELASCO LÓPEZ , UBICAD@ EN LA DIRECCIÓN CALLE 81 SUR # 18 P - 08, COLEGIO EL TESORO DE LA CUMBRE (IED), AL NÚMERO CELULAR 3114965004, ACTIVO 152800003351 EN ELCASO DE REQUERIR CAMBIO DE LOS PERIFERICOS PARA LA ATENCION , POR FAVOR DEJAR IMPLEMENTO DE CONTINGENCIA PARA CONTINUIDAD DE LA OPERACION
</t>
        </is>
      </c>
      <c r="G16" s="2" t="inlineStr">
        <is>
          <t>SERVICIOS DE TECNOLOGIA-SOPORTE EQUIPOS DE COMPUTO-FALLA</t>
        </is>
      </c>
      <c r="H16" s="2" t="inlineStr">
        <is>
          <t>Portal - Web</t>
        </is>
      </c>
      <c r="I16" s="2" t="inlineStr">
        <is>
          <t>Baja</t>
        </is>
      </c>
      <c r="J16" s="4">
        <v>46220.3562962963</v>
      </c>
      <c r="K16" s="2" t="inlineStr">
        <is>
          <t>MICHAEL STEVEN FRAILE GOMEZ</t>
        </is>
      </c>
      <c r="L16" s="2" t="inlineStr">
        <is>
          <t>ZONA SURORIENTE</t>
        </is>
      </c>
      <c r="M16" s="2" t="inlineStr">
        <is>
          <t>SERVICIOS DE TI</t>
        </is>
      </c>
      <c r="N16" s="2"/>
      <c r="O16" s="2" t="inlineStr">
        <is>
          <t>BIENESTAR Y DESARROLLO SOCIAL</t>
        </is>
      </c>
      <c r="P16" s="2"/>
      <c r="Q16" s="2" t="inlineStr">
        <is>
          <t>AGGIBMZTENYZ6AT81MZET81MZEMBZK</t>
        </is>
      </c>
      <c r="R16" s="2" t="inlineStr">
        <is>
          <t>a) 0-4</t>
        </is>
      </c>
      <c r="S16" s="2" t="inlineStr">
        <is>
          <t>22/07/2026 17:00:00</t>
        </is>
      </c>
      <c r="T16" s="2" t="inlineStr">
        <is>
          <t>-</t>
        </is>
      </c>
    </row>
    <row r="17">
      <c r="A17" s="2" t="inlineStr">
        <is>
          <t>🟢</t>
        </is>
      </c>
      <c r="B17" s="3" t="str">
        <f>HYPERLINK("https://compensar-smartit.onbmc.com/smartit/app/#/incident/IDGIBMZTENYZ6AT81NUAT81NUANBBG","INC000000152668")</f>
        <v>INC000000152668</v>
      </c>
      <c r="C17" s="2" t="inlineStr">
        <is>
          <t>No</t>
        </is>
      </c>
      <c r="D17" s="2" t="inlineStr">
        <is>
          <t>Poco espacio en disco del equipo de cómputo</t>
        </is>
      </c>
      <c r="E17" s="2" t="inlineStr">
        <is>
          <t>Pendiente</t>
        </is>
      </c>
      <c r="F17" s="2" t="inlineStr">
        <is>
          <t>Usuario: La usuaria JULIETH KATHERIN GUTIERREZ BALLEN se comunica con la mesa de servicio para notificar que su equipo presenta poco espacio de almacenamiento.
Teléfono: 3212066976
Informa: La usuaria informa que su equipo presenta poco espacio en disco. Se realiza validación remota y se evidencia que el disco de almacenamiento se encuentra al límite de su capacidad. Se ejecuta el borrado de archivos temporales; sin embargo, se confirma que el disco continúa en su tope de capacidad.
Ubicación: ubate, Cundinamarca, piso 1, módulo 1.
Tiempo: 8:34 a. m. 17/07/2026.
Impacto: 1.
Placa de equipo: C005616.
Evidencias:
1. Se realiza conexión remota para validar la novedad reportada.
2. Se verifica el estado del almacenamiento del equipo.
3. Se evidencia que el disco se encuentra al límite de su capacidad.
4. Se realiza el borrado de archivos temporales.
5. Se confirma que el disco continúa en su tope de capacidad.
6. Se documenta la novedad para continuar con la gestión correspondiente.</t>
        </is>
      </c>
      <c r="G17" s="2" t="inlineStr">
        <is>
          <t>SERVICIOS DE TECNOLOGIA-SOPORTE EQUIPOS DE COMPUTO-LENTITUD</t>
        </is>
      </c>
      <c r="H17" s="2" t="inlineStr">
        <is>
          <t>Telefono</t>
        </is>
      </c>
      <c r="I17" s="2" t="inlineStr">
        <is>
          <t>Baja</t>
        </is>
      </c>
      <c r="J17" s="4">
        <v>46220.37252314815</v>
      </c>
      <c r="K17" s="2" t="inlineStr">
        <is>
          <t>DANIEL CAMILO BARRERO GALINDO</t>
        </is>
      </c>
      <c r="L17" s="2" t="inlineStr">
        <is>
          <t>SPT REGIONALES</t>
        </is>
      </c>
      <c r="M17" s="2" t="inlineStr">
        <is>
          <t>SERVICIOS DE TI</t>
        </is>
      </c>
      <c r="N17" s="2" t="inlineStr">
        <is>
          <t>C005616</t>
        </is>
      </c>
      <c r="O17" s="2" t="inlineStr">
        <is>
          <t>SALUD</t>
        </is>
      </c>
      <c r="P17" s="2"/>
      <c r="Q17" s="2" t="inlineStr">
        <is>
          <t>IDGIBMZTENYZ6AT81NUAT81NUANBBG</t>
        </is>
      </c>
      <c r="R17" s="2" t="inlineStr">
        <is>
          <t>a) 0-4</t>
        </is>
      </c>
      <c r="S17" s="2" t="inlineStr">
        <is>
          <t>21/07/2026 20:00:00</t>
        </is>
      </c>
      <c r="T17" s="2" t="inlineStr">
        <is>
          <t>-</t>
        </is>
      </c>
    </row>
    <row r="18">
      <c r="A18" s="2" t="inlineStr">
        <is>
          <t>🟢</t>
        </is>
      </c>
      <c r="B18" s="3" t="str">
        <f>HYPERLINK("https://compensar-smartit.onbmc.com/smartit/app/#/incident/IDGIBMZTENYZ6AT81OX1T81OX1OVK3","INC000000152674")</f>
        <v>INC000000152674</v>
      </c>
      <c r="C18" s="2" t="inlineStr">
        <is>
          <t>No</t>
        </is>
      </c>
      <c r="D18" s="2" t="inlineStr">
        <is>
          <t>Daño físico en pantalla de portátil - PIXEL MUERTO</t>
        </is>
      </c>
      <c r="E18" s="2" t="inlineStr">
        <is>
          <t>Pendiente</t>
        </is>
      </c>
      <c r="F18" s="2" t="inlineStr">
        <is>
          <t>Usuario: CAMILA ANDREA MEZA GOMEZ
Informa: La usuaria se comunica con la Mesa de Servicio para reportar un daño físico en la pantalla del portátil. Indica que observó un punto blanco y, al tocar la superficie de la pantalla, identificó un orificio en el panel. Se registra el reporte para la gestión correspondiente.
Ubicación: Movilidad - Av. 68
Tiempo: 09:12 17/7/2026
Impacto: Usuarios afectados 1
Placa de equipo: No especificada
Evidencias:
1. Se recibió el reporte de daño físico en la pantalla del portátil.
2. La usuaria informó la presencia de un punto blanco visible en la pantalla.
3. Se registró que, al verificar físicamente el equipo, la usuaria identificó un orificio en la pantalla.
4. Se documentó el incidente para la gestión correspondiente.</t>
        </is>
      </c>
      <c r="G18" s="2" t="inlineStr">
        <is>
          <t>SERVICIOS DE TECNOLOGIA-SOPORTE EQUIPOS DE COMPUTO-FALLA</t>
        </is>
      </c>
      <c r="H18" s="2" t="inlineStr">
        <is>
          <t>Telefono</t>
        </is>
      </c>
      <c r="I18" s="2" t="inlineStr">
        <is>
          <t>Baja</t>
        </is>
      </c>
      <c r="J18" s="4">
        <v>46220.38711805556</v>
      </c>
      <c r="K18" s="2" t="inlineStr">
        <is>
          <t>GERLYN RENTERIA OROZCO</t>
        </is>
      </c>
      <c r="L18" s="2" t="inlineStr">
        <is>
          <t>ZONA CENTRO</t>
        </is>
      </c>
      <c r="M18" s="2" t="inlineStr">
        <is>
          <t>SERVICIOS DE TI</t>
        </is>
      </c>
      <c r="N18" s="2" t="inlineStr">
        <is>
          <t>SISTEMA OPERATIVO WINDOWS</t>
        </is>
      </c>
      <c r="O18" s="2" t="inlineStr">
        <is>
          <t>BIENESTAR Y DESARROLLO SOCIAL</t>
        </is>
      </c>
      <c r="P18" s="2"/>
      <c r="Q18" s="2" t="inlineStr">
        <is>
          <t>IDGIBMZTENYZ6AT81OX1T81OX1OVK3</t>
        </is>
      </c>
      <c r="R18" s="2" t="inlineStr">
        <is>
          <t>a) 0-4</t>
        </is>
      </c>
      <c r="S18" s="2" t="inlineStr">
        <is>
          <t>23/07/2026 18:00:00</t>
        </is>
      </c>
      <c r="T18" s="2" t="inlineStr">
        <is>
          <t>-</t>
        </is>
      </c>
    </row>
    <row r="19">
      <c r="A19" s="2" t="inlineStr">
        <is>
          <t>🟢</t>
        </is>
      </c>
      <c r="B19" s="3" t="str">
        <f>HYPERLINK("https://compensar-smartit.onbmc.com/smartit/app/#/incident/IDGIBMZTENYZ6AT81P4FT81P4FPO44","INC000000152679")</f>
        <v>INC000000152679</v>
      </c>
      <c r="C19" s="2" t="inlineStr">
        <is>
          <t>No</t>
        </is>
      </c>
      <c r="D19" s="2" t="inlineStr">
        <is>
          <t>Conexión remota fallida a equipo en sede</t>
        </is>
      </c>
      <c r="E19" s="2" t="inlineStr">
        <is>
          <t>Pendiente</t>
        </is>
      </c>
      <c r="F19" s="2" t="inlineStr">
        <is>
          <t>Usuario: Ricardo Alfonso Benavides Ramirez
CC: 1088257214
Tel: 3163125867
Informa: El colaborador reporta que no permite realizar conexión remota desde Pereira hacia un equipo ubicado en San Rafael Bogotá. Genera mensaje indicando que el equipo se encuentra sin red, apagado o sin servicio de conexión remota.
Se realiza prueba de ping a la IP 172.28.150.15, la cual arroja mensaje de tiempo de espera agotado. El colaborador informa que desde hace aproximadamente 6 meses no logra conectarse a este equipo. Se desconoce si durante este periodo se realizó algún proceso de mantenimiento, actualización o formateo del equipo que pudiera haber modificado la IP.
Activo: 045317
/placa: P006736
Ubicación: Pereira. Equipo requerido ubicado en San Rafael Bogotá, sótano, laboratorio de patología
Tiempo: 6:30
Impacto: 1
Evidencias:</t>
        </is>
      </c>
      <c r="G19" s="2" t="inlineStr">
        <is>
          <t>SERVICIOS DE TECNOLOGIA-REDES-CONEXION FALLIDA</t>
        </is>
      </c>
      <c r="H19" s="2" t="inlineStr">
        <is>
          <t>Telefono</t>
        </is>
      </c>
      <c r="I19" s="2" t="inlineStr">
        <is>
          <t>Baja</t>
        </is>
      </c>
      <c r="J19" s="4">
        <v>46220.394953703704</v>
      </c>
      <c r="K19" s="2" t="inlineStr">
        <is>
          <t>MICHAEL STEVEN FRAILE GOMEZ</t>
        </is>
      </c>
      <c r="L19" s="2" t="inlineStr">
        <is>
          <t>SPT ZONA SURORIENTE</t>
        </is>
      </c>
      <c r="M19" s="2" t="inlineStr">
        <is>
          <t>SERVICIOS DE TI</t>
        </is>
      </c>
      <c r="N19" s="2"/>
      <c r="O19" s="2" t="inlineStr">
        <is>
          <t>SALUD</t>
        </is>
      </c>
      <c r="P19" s="2"/>
      <c r="Q19" s="2" t="inlineStr">
        <is>
          <t>IDGIBMZTENYZ6AT81P4FT81P4FPO44</t>
        </is>
      </c>
      <c r="R19" s="2" t="inlineStr">
        <is>
          <t>a) 0-4</t>
        </is>
      </c>
      <c r="S19" s="2" t="inlineStr">
        <is>
          <t>21/07/2026 18:00:00</t>
        </is>
      </c>
      <c r="T19" s="2" t="inlineStr">
        <is>
          <t>-</t>
        </is>
      </c>
    </row>
    <row r="20">
      <c r="A20" s="2" t="inlineStr">
        <is>
          <t>🟢</t>
        </is>
      </c>
      <c r="B20" s="3" t="str">
        <f>HYPERLINK("https://compensar-smartit.onbmc.com/smartit/app/#/incident/IDGIBMZTENYZ6AT81SL5T81SL5T207","INC000000152694")</f>
        <v>INC000000152694</v>
      </c>
      <c r="C20" s="2" t="inlineStr">
        <is>
          <t>No</t>
        </is>
      </c>
      <c r="D20" s="2" t="inlineStr">
        <is>
          <t>Falla de conexion en equipo-Dominio o RED</t>
        </is>
      </c>
      <c r="E20" s="2" t="inlineStr">
        <is>
          <t>Pendiente</t>
        </is>
      </c>
      <c r="F20" s="2" t="inlineStr">
        <is>
          <t>Usuario         : Kelly Ramirez
CC              : 1016063080
Tel             : 3118054206
Informa         : La colaboradora reporta falla en el equipo de cómputo debido a que la conexión a internet se pierde ocasionalmente. Se requiere validación del equipo y conectividad para identificar la causa de la intermitencia.
Ubicación       : CEF Piso 1 Oficinas Plaza de Jubileo
Tiempo          : 10:41 a. m. 17/07/2026
Impacto         : 1
Placa de equipo : C91053376
Evidencias      :
                  1. Intermitencia de conexión a internet reportada por la colaboradora.
                  2. La falla se presenta ocasionalmente en el equipo de cómputo.
3.Informa la conexion se va repentinamente ,dura algunos momnentos asi y luego vuelve.Solicita validar esta falla .</t>
        </is>
      </c>
      <c r="G20" s="2" t="inlineStr">
        <is>
          <t>SERVICIOS DE TECNOLOGIA-APLICACIONES DE NEGOCIO-FALLA</t>
        </is>
      </c>
      <c r="H20" s="2" t="inlineStr">
        <is>
          <t>Telefono</t>
        </is>
      </c>
      <c r="I20" s="2" t="inlineStr">
        <is>
          <t>Baja</t>
        </is>
      </c>
      <c r="J20" s="4">
        <v>46220.44590277778</v>
      </c>
      <c r="K20" s="2" t="inlineStr">
        <is>
          <t>GERLYN RENTERIA OROZCO</t>
        </is>
      </c>
      <c r="L20" s="2" t="inlineStr">
        <is>
          <t>ZONA CENTRO</t>
        </is>
      </c>
      <c r="M20" s="2" t="inlineStr">
        <is>
          <t>SERVICIOS DE TI</t>
        </is>
      </c>
      <c r="N20" s="2" t="inlineStr">
        <is>
          <t>C91053376</t>
        </is>
      </c>
      <c r="O20" s="2" t="inlineStr">
        <is>
          <t>BIENESTAR Y DESARROLLO SOCIAL</t>
        </is>
      </c>
      <c r="P20" s="2"/>
      <c r="Q20" s="2" t="inlineStr">
        <is>
          <t>IDGIBMZTENYZ6AT81SL5T81SL5T207</t>
        </is>
      </c>
      <c r="R20" s="2" t="inlineStr">
        <is>
          <t>a) 0-4</t>
        </is>
      </c>
      <c r="S20" s="2" t="inlineStr">
        <is>
          <t>21/07/2026 18:00:00</t>
        </is>
      </c>
      <c r="T20" s="2" t="inlineStr">
        <is>
          <t>-</t>
        </is>
      </c>
    </row>
    <row r="21">
      <c r="A21" s="2" t="inlineStr">
        <is>
          <t>🟠</t>
        </is>
      </c>
      <c r="B21" s="3" t="str">
        <f>HYPERLINK("https://compensar-smartit.onbmc.com/smartit/app/#/incident/IDGGSWY0I24JCAT81PLUT81PLU6SD8","INC000000152760")</f>
        <v>INC000000152760</v>
      </c>
      <c r="C21" s="2" t="inlineStr">
        <is>
          <t>No</t>
        </is>
      </c>
      <c r="D21" s="2" t="inlineStr">
        <is>
          <t>Falla en Touchpad y Cursor del Portátil</t>
        </is>
      </c>
      <c r="E21" s="2" t="inlineStr">
        <is>
          <t>Asignado</t>
        </is>
      </c>
      <c r="F21" s="2" t="inlineStr">
        <is>
          <t>Usuario: Harold Fernando Ferrucho Gordillo
CC: 80005543
Teléfono: 3017401905
Correo: HFFERRUCHOG@compensar.com
Placa del equipo: P009616
Incidente reportado: El usuario informa que el cursor del equipo se mueve automáticamente y no es posible controlar correctamente el touchpad. Indica que el inconveniente comenzó desde que fue reemplazado el teclado del portátil.
Soporte de primer nivel: N/A
Ubicación: CSDE, Bloque B, Piso 1, frente a la entrada de Vivienda.
Fecha y hora de reporte: 17/07/2026 – 9:24 a. m.
Impacto: 1
Evidencias: No adjunta evidencias.
Descripción del caso:
El usuario Harold Fernando Ferrucho Gordillo reporta una falla en el dispositivo señalador de su portátil, indicando que el cursor se desplaza de forma automática y el touchpad no responde correctamente. Menciona que el comportamiento inició después del cambio de teclado realizado al equipo. Se requiere validar el estado del hardware, los controladores del touchpad y la instalación del teclado, con el fin de identificar la causa del inconveniente y restablecer el funcionamiento normal del equipo.</t>
        </is>
      </c>
      <c r="G21" s="2" t="inlineStr">
        <is>
          <t>SERVICIOS DE TECNOLOGIA-SOPORTE EQUIPOS DE COMPUTO-FALLA</t>
        </is>
      </c>
      <c r="H21" s="2" t="inlineStr">
        <is>
          <t>Telefono</t>
        </is>
      </c>
      <c r="I21" s="2" t="inlineStr">
        <is>
          <t>Baja</t>
        </is>
      </c>
      <c r="J21" s="4">
        <v>46220.402592592596</v>
      </c>
      <c r="K21" s="2" t="inlineStr">
        <is>
          <t>ANDERSON JULIAN RATIVA RAMIREZ</t>
        </is>
      </c>
      <c r="L21" s="2" t="inlineStr">
        <is>
          <t>ZONA CENTRO</t>
        </is>
      </c>
      <c r="M21" s="2" t="inlineStr">
        <is>
          <t>SERVICIOS DE TI</t>
        </is>
      </c>
      <c r="N21" s="2" t="inlineStr">
        <is>
          <t>P009616</t>
        </is>
      </c>
      <c r="O21" s="2" t="inlineStr">
        <is>
          <t>BIENESTAR Y DESARROLLO SOCIAL</t>
        </is>
      </c>
      <c r="P21" s="2"/>
      <c r="Q21" s="2" t="inlineStr">
        <is>
          <t>IDGGSWY0I24JCAT81PLUT81PLU6SD8</t>
        </is>
      </c>
      <c r="R21" s="2" t="inlineStr">
        <is>
          <t>a) 0-4</t>
        </is>
      </c>
      <c r="S21" s="2" t="inlineStr">
        <is>
          <t>-</t>
        </is>
      </c>
      <c r="T21" s="2" t="inlineStr">
        <is>
          <t>21/07/2026 09:39:44</t>
        </is>
      </c>
    </row>
    <row r="22">
      <c r="A22" s="2" t="inlineStr">
        <is>
          <t>🟠</t>
        </is>
      </c>
      <c r="B22" s="3" t="str">
        <f>HYPERLINK("https://compensar-smartit.onbmc.com/smartit/app/#/incident/IDGGSWY0I24JCAT81R6FT81R6F9MFO","INC000000152768")</f>
        <v>INC000000152768</v>
      </c>
      <c r="C22" s="2" t="inlineStr">
        <is>
          <t>No</t>
        </is>
      </c>
      <c r="D22" s="2" t="inlineStr">
        <is>
          <t>Fallo equipo no conecta a ninguna red</t>
        </is>
      </c>
      <c r="E22" s="2" t="inlineStr">
        <is>
          <t>En curso</t>
        </is>
      </c>
      <c r="F22" s="2" t="inlineStr">
        <is>
          <t>Usuario: Aldana, Camilo
CC: 1010183183
Tel: 3134814269
Informa: fallo equipo no conecta a la red
Ubicación: torre f piso 2 deportes
Tiempo: 10:06 a. m. 17/07/2026
Impacto: 1
Evidencias: activo P024586</t>
        </is>
      </c>
      <c r="G22" s="2" t="inlineStr">
        <is>
          <t>SERVICIOS DE TECNOLOGIA-SOPORTE EQUIPOS DE COMPUTO-FALLA</t>
        </is>
      </c>
      <c r="H22" s="2" t="inlineStr">
        <is>
          <t>Telefono</t>
        </is>
      </c>
      <c r="I22" s="2" t="inlineStr">
        <is>
          <t>Baja</t>
        </is>
      </c>
      <c r="J22" s="4">
        <v>46220.42613425926</v>
      </c>
      <c r="K22" s="2" t="inlineStr">
        <is>
          <t>KEVIN ALEXIS GARCIA GUARACA</t>
        </is>
      </c>
      <c r="L22" s="2" t="inlineStr">
        <is>
          <t>ZONA CENTRO</t>
        </is>
      </c>
      <c r="M22" s="2" t="inlineStr">
        <is>
          <t>SERVICIOS DE TI</t>
        </is>
      </c>
      <c r="N22" s="2" t="inlineStr">
        <is>
          <t>P024586</t>
        </is>
      </c>
      <c r="O22" s="2" t="inlineStr">
        <is>
          <t>BIENESTAR Y DESARROLLO SOCIAL</t>
        </is>
      </c>
      <c r="P22" s="2"/>
      <c r="Q22" s="2" t="inlineStr">
        <is>
          <t>IDGGSWY0I24JCAT81R6FT81R6F9MFO</t>
        </is>
      </c>
      <c r="R22" s="2" t="inlineStr">
        <is>
          <t>a) 0-4</t>
        </is>
      </c>
      <c r="S22" s="2" t="inlineStr">
        <is>
          <t>-</t>
        </is>
      </c>
      <c r="T22" s="2" t="inlineStr">
        <is>
          <t>21/07/2026 10:13:38</t>
        </is>
      </c>
    </row>
    <row r="23">
      <c r="A23" s="2" t="inlineStr">
        <is>
          <t>🟠</t>
        </is>
      </c>
      <c r="B23" s="3" t="str">
        <f>HYPERLINK("https://compensar-smartit.onbmc.com/smartit/app/#/incident/AGGGSWY0I24JCAT81S01T81S01LCFU","INC000000152774")</f>
        <v>INC000000152774</v>
      </c>
      <c r="C23" s="2" t="inlineStr">
        <is>
          <t>No</t>
        </is>
      </c>
      <c r="D23" s="2" t="inlineStr">
        <is>
          <t>Falla - Intermitencia con la Red en el equipo</t>
        </is>
      </c>
      <c r="E23" s="2" t="inlineStr">
        <is>
          <t>Asignado</t>
        </is>
      </c>
      <c r="F23" s="2" t="inlineStr">
        <is>
          <t>Ubicación para atención del Servicio: ACUEDUCTO PISO 1 ADMINISTRACION
Número de contacto para la atención del servicio: 3022742103
Frente: CENTRO DE SERVICIOS COMPARTIDOS
Afectación: OTRO SERVICIO
Nombre del Servicio Afectado: punto de red dejó de operar
Nombre de equipo (inventario o placa): 152800017967
Descripción del incidente o falla: tras una actualización solicitada por el sistema, el punto de red dejó de operar, por lo que actualmente me encuentro trabajando nuevamente con conexión Wi-Fi, la cual es intermitente.152800017967-0000-PP2 D0-4, usuario afectado AURA NATALY ALMONACID CASTAÑEDA &lt;ANALMONACIDC@compensar.com&gt;, ubicada en Bloque G primer piso.
</t>
        </is>
      </c>
      <c r="G23" s="2" t="inlineStr">
        <is>
          <t>SERVICIOS DE TECNOLOGIA-REDES-CONEXION FALLIDA</t>
        </is>
      </c>
      <c r="H23" s="2" t="inlineStr">
        <is>
          <t>Portal - Web</t>
        </is>
      </c>
      <c r="I23" s="2" t="inlineStr">
        <is>
          <t>Baja</t>
        </is>
      </c>
      <c r="J23" s="4">
        <v>46220.435960648145</v>
      </c>
      <c r="K23" s="2" t="inlineStr">
        <is>
          <t>ANDERSON JULIAN RATIVA RAMIREZ</t>
        </is>
      </c>
      <c r="L23" s="2" t="inlineStr">
        <is>
          <t>ZONA CENTRO</t>
        </is>
      </c>
      <c r="M23" s="2" t="inlineStr">
        <is>
          <t>SERVICIOS DE TI</t>
        </is>
      </c>
      <c r="N23" s="2"/>
      <c r="O23" s="2" t="inlineStr">
        <is>
          <t>CENTRO DE SERVICIOS COMPARTIDOS</t>
        </is>
      </c>
      <c r="P23" s="2"/>
      <c r="Q23" s="2" t="inlineStr">
        <is>
          <t>AGGGSWY0I24JCAT81S01T81S01LCFU</t>
        </is>
      </c>
      <c r="R23" s="2" t="inlineStr">
        <is>
          <t>a) 0-4</t>
        </is>
      </c>
      <c r="S23" s="2" t="inlineStr">
        <is>
          <t>-</t>
        </is>
      </c>
      <c r="T23" s="2" t="inlineStr">
        <is>
          <t>21/07/2026 10:27:47</t>
        </is>
      </c>
    </row>
    <row r="24">
      <c r="A24" s="2" t="inlineStr">
        <is>
          <t>🟠</t>
        </is>
      </c>
      <c r="B24" s="3" t="str">
        <f>HYPERLINK("https://compensar-smartit.onbmc.com/smartit/app/#/incident/IDGGSWY0I24JCAT81V13T81V13PW7G","INC000000152790")</f>
        <v>INC000000152790</v>
      </c>
      <c r="C24" s="2" t="inlineStr">
        <is>
          <t>No</t>
        </is>
      </c>
      <c r="D24" s="2" t="inlineStr">
        <is>
          <t>Disco del Equipo Sin Espacio Disponible</t>
        </is>
      </c>
      <c r="E24" s="2" t="inlineStr">
        <is>
          <t>En curso</t>
        </is>
      </c>
      <c r="F24" s="2" t="inlineStr">
        <is>
          <t>Usuario: Oscar Javier Amado Amado
CC: 5660543
Teléfono: 3144269295
Correo: jamadoa@compensar.com
Placa del equipo: P020220
Incidente reportado: El usuario informa que el equipo presenta el disco lleno y solicita liberar espacio, ya que no le permite guardar información en la máquina.
Soporte de primer nivel: N/A
Ubicación: Teletrabajo / CSDE Torre B, Piso 2.
Fecha y hora de reporte: 17/07/2026 – 11:14 a. m.
Impacto: 1
Evidencias: No adjunta evidencias.
Descripción del caso:
El usuario Oscar Javier Amado Amado reporta que su equipo presenta el disco de almacenamiento sin espacio disponible, lo que impide guardar archivos y afecta el normal desarrollo de sus actividades. Se requiere validar el estado del almacenamiento, identificar los archivos o elementos que ocupan mayor capacidad y realizar las acciones correspondientes para liberar espacio o escalar el caso si se requiere una intervención adicional.</t>
        </is>
      </c>
      <c r="G24" s="2" t="inlineStr">
        <is>
          <t>SERVICIOS DE TECNOLOGIA-SOPORTE EQUIPOS DE COMPUTO-FALLA DEL SISTEMA OPERATIVO</t>
        </is>
      </c>
      <c r="H24" s="2" t="inlineStr">
        <is>
          <t>Telefono</t>
        </is>
      </c>
      <c r="I24" s="2" t="inlineStr">
        <is>
          <t>Baja</t>
        </is>
      </c>
      <c r="J24" s="4">
        <v>46220.484293981484</v>
      </c>
      <c r="K24" s="2" t="inlineStr">
        <is>
          <t>KEVIN ALEXIS GARCIA GUARACA</t>
        </is>
      </c>
      <c r="L24" s="2" t="inlineStr">
        <is>
          <t>ZONA CENTRO</t>
        </is>
      </c>
      <c r="M24" s="2" t="inlineStr">
        <is>
          <t>SERVICIOS DE TI</t>
        </is>
      </c>
      <c r="N24" s="2" t="inlineStr">
        <is>
          <t>P020220</t>
        </is>
      </c>
      <c r="O24" s="2" t="inlineStr">
        <is>
          <t>BIENESTAR Y DESARROLLO SOCIAL</t>
        </is>
      </c>
      <c r="P24" s="2"/>
      <c r="Q24" s="2" t="inlineStr">
        <is>
          <t>IDGGSWY0I24JCAT81V13T81V13PW7G</t>
        </is>
      </c>
      <c r="R24" s="2" t="inlineStr">
        <is>
          <t>a) 0-4</t>
        </is>
      </c>
      <c r="S24" s="2" t="inlineStr">
        <is>
          <t>-</t>
        </is>
      </c>
      <c r="T24" s="2" t="inlineStr">
        <is>
          <t>21/07/2026 11:37:23</t>
        </is>
      </c>
    </row>
    <row r="25">
      <c r="A25" s="2" t="inlineStr">
        <is>
          <t>🟢</t>
        </is>
      </c>
      <c r="B25" s="3" t="str">
        <f>HYPERLINK("https://compensar-smartit.onbmc.com/smartit/app/#/incident/AGGIBMZTENYZ6AT832FOT832FOOVWO","INC000000152863")</f>
        <v>INC000000152863</v>
      </c>
      <c r="C25" s="2" t="inlineStr">
        <is>
          <t>No</t>
        </is>
      </c>
      <c r="D25" s="2" t="inlineStr">
        <is>
          <t>Fallas de Aplicaciones</t>
        </is>
      </c>
      <c r="E25" s="2" t="inlineStr">
        <is>
          <t>Asignado</t>
        </is>
      </c>
      <c r="F25" s="2" t="inlineStr">
        <is>
          <t>Ubicación para atención del Servicio: ACUEDUCTO PISO 1 ADMINISTRACION
Número de contacto para la atención del servicio: 3232223508
Frente: SALUD
Aplicación Afectada: CORREO ELECTRONICO
Numero de Usuarios Afectados: 1
Fecha y hora en que se presenta el incidente:: 2026-07-18T00:00:00.000Z
Proceso al que pertenece (Sigla – Nombre): salud
¿En qué sección de la aplicación ocurre el Error?: [OPCIÓN]
¿Es Recurrente el Error?: SI
Recurrencia (en horas, días, meses): dias
El error es: PROCESO BLOQUEANTE
¿Bajo qué casos particulares se presenta el error?: correo
Conoce alguna solución temporal que pueda aplicarse o que haya sido aplicada anteriormente?: no
Escriba detalladamente el error donde clarifique el flujo paso a paso de cómo se presentó: &lt;AGENTE VIRTUAL&gt; al ingresar al correo genera error
Comportamiento esperado de la aplicación: debería ingresar
Adjunto: [AGGIBMZTENYZ6AT832E8T832E8OVFX]
</t>
        </is>
      </c>
      <c r="G25" s="2" t="inlineStr">
        <is>
          <t>SERVICIOS DE TECNOLOGIA-GESTION DE APLICACIONES-FALLA</t>
        </is>
      </c>
      <c r="H25" s="2" t="inlineStr">
        <is>
          <t>ChatBot</t>
        </is>
      </c>
      <c r="I25" s="2" t="inlineStr">
        <is>
          <t>Baja</t>
        </is>
      </c>
      <c r="J25" s="4">
        <v>46221.27402777778</v>
      </c>
      <c r="K25" s="2" t="inlineStr">
        <is>
          <t>SANTIAGO PERDOMO ACERO</t>
        </is>
      </c>
      <c r="L25" s="2" t="inlineStr">
        <is>
          <t>ZONA CENTRO</t>
        </is>
      </c>
      <c r="M25" s="2" t="inlineStr">
        <is>
          <t>SERVICIOS DE TI</t>
        </is>
      </c>
      <c r="N25" s="2"/>
      <c r="O25" s="2" t="inlineStr">
        <is>
          <t>SALUD</t>
        </is>
      </c>
      <c r="P25" s="2"/>
      <c r="Q25" s="2" t="inlineStr">
        <is>
          <t>AGGIBMZTENYZ6AT832FOT832FOOVWO</t>
        </is>
      </c>
      <c r="R25" s="2" t="inlineStr">
        <is>
          <t>a) 0-4</t>
        </is>
      </c>
      <c r="S25" s="2" t="inlineStr">
        <is>
          <t>-</t>
        </is>
      </c>
      <c r="T25" s="2" t="inlineStr">
        <is>
          <t>22/07/2026 06:34:36</t>
        </is>
      </c>
    </row>
    <row r="26">
      <c r="A26" s="2" t="inlineStr">
        <is>
          <t>🟢</t>
        </is>
      </c>
      <c r="B26" s="3" t="str">
        <f>HYPERLINK("https://compensar-smartit.onbmc.com/smartit/app/#/incident/IDGIBMZTENYZ6AT832S5T832S5PDPY","INC000000152866")</f>
        <v>INC000000152866</v>
      </c>
      <c r="C26" s="2" t="inlineStr">
        <is>
          <t>No</t>
        </is>
      </c>
      <c r="D26" s="2" t="inlineStr">
        <is>
          <t>Falla en office 2013 - EV PERFIL 7</t>
        </is>
      </c>
      <c r="E26" s="2" t="inlineStr">
        <is>
          <t>Pendiente</t>
        </is>
      </c>
      <c r="F26" s="2" t="inlineStr">
        <is>
          <t>Usuario: Tania Daniela Arevalo Rojas
CC: 1019127361
Tel: 3102157258 
Informa: Falla en los EV perfil 7 en el paquete de office 2013 sale error al abrir archivos
Ubicación: EV perfil 7
Tiempo: 6:23 am
Impacto: 3</t>
        </is>
      </c>
      <c r="G26" s="2" t="inlineStr">
        <is>
          <t>SERVICIOS DE TECNOLOGIA-ESCRITORIOS VIRTUALES-FALLA DE SISTEMA OPERATIVO</t>
        </is>
      </c>
      <c r="H26" s="2" t="inlineStr">
        <is>
          <t>Telefono</t>
        </is>
      </c>
      <c r="I26" s="2" t="inlineStr">
        <is>
          <t>Baja</t>
        </is>
      </c>
      <c r="J26" s="4">
        <v>46221.28560185185</v>
      </c>
      <c r="K26" s="2" t="inlineStr">
        <is>
          <t>FABIAN JESSID PASTRANA AGUIRRE</t>
        </is>
      </c>
      <c r="L26" s="2" t="inlineStr">
        <is>
          <t>SPT ESCRITORIO VIRTUAL</t>
        </is>
      </c>
      <c r="M26" s="2" t="inlineStr">
        <is>
          <t>SERVICIOS DE TI</t>
        </is>
      </c>
      <c r="N26" s="2" t="inlineStr">
        <is>
          <t>VMAZTT3PRD7-81</t>
        </is>
      </c>
      <c r="O26" s="2" t="inlineStr">
        <is>
          <t>SALUD</t>
        </is>
      </c>
      <c r="P26" s="2"/>
      <c r="Q26" s="2" t="inlineStr">
        <is>
          <t>IDGIBMZTENYZ6AT832S5T832S5PDPY</t>
        </is>
      </c>
      <c r="R26" s="2" t="inlineStr">
        <is>
          <t>a) 0-4</t>
        </is>
      </c>
      <c r="S26" s="2" t="inlineStr">
        <is>
          <t>21/07/2026 18:00:00</t>
        </is>
      </c>
      <c r="T26" s="2" t="inlineStr">
        <is>
          <t>-</t>
        </is>
      </c>
    </row>
    <row r="27">
      <c r="A27" s="2" t="inlineStr">
        <is>
          <t>🟢</t>
        </is>
      </c>
      <c r="B27" s="3" t="str">
        <f>HYPERLINK("https://compensar-smartit.onbmc.com/smartit/app/#/incident/IDGIBMZTENYZ6AT835NFT835NFQHED","INC000000152878")</f>
        <v>INC000000152878</v>
      </c>
      <c r="C27" s="2" t="inlineStr">
        <is>
          <t>No</t>
        </is>
      </c>
      <c r="D27" s="2" t="inlineStr">
        <is>
          <t>Cancelación de cola de impresión en impresora Zebra - stikers toda la sede</t>
        </is>
      </c>
      <c r="E27" s="2" t="inlineStr">
        <is>
          <t>Asignado</t>
        </is>
      </c>
      <c r="F27" s="2" t="inlineStr">
        <is>
          <t>Usuario: NANCY PATRICIA TOBO GARCIA
Informa: La usuaria se comunica con la Mesa de Servicio indicando que, por error, el día anterior fueron enviados los stickers de toda la sede a una impresora Zebra. Informa que, al reanudarse el funcionamiento del equipo, se imprimirán todos los trabajos pendientes, por lo que solicita la revisión y cancelación de la cola de impresión ya que no pueden imprimir
Ubicación: San Roque
Tiempo: 07:46 01/07/2026
Impacto: Usuarios afectados 1
Placa de equipo: No aplica
Evidencias:
1. Se recibió el reporte relacionado con la cola de impresión de una impresora Zebra.
2. Se documentó que el día anterior se enviaron por error los stickers de toda la sede a la impresora.
3. Se registró que los trabajos de impresión permanecen en cola y podrían imprimirse al restablecer el funcionamiento del equipo.
4. Se solicitó la revisión y cancelación de la cola de impresión de la impresora Zebra con serial **T451849192**.
5. Se registró la cédula de la usuaria: 1075688270.
6. Se registró el teléfono de contacto: 3045930445.</t>
        </is>
      </c>
      <c r="G27" s="2" t="inlineStr">
        <is>
          <t>SERVICIOS DE TECNOLOGIA-SERVICIOS DE IMPRESION/ESCANER-FALLA DE IMPRESION</t>
        </is>
      </c>
      <c r="H27" s="2" t="inlineStr">
        <is>
          <t>Telefono</t>
        </is>
      </c>
      <c r="I27" s="2" t="inlineStr">
        <is>
          <t>Baja</t>
        </is>
      </c>
      <c r="J27" s="4">
        <v>46221.32766203704</v>
      </c>
      <c r="K27" s="2" t="inlineStr">
        <is>
          <t>MIGUEL JOSE NUÑEZ MARQUEZ</t>
        </is>
      </c>
      <c r="L27" s="2" t="inlineStr">
        <is>
          <t>ZONA NORTE</t>
        </is>
      </c>
      <c r="M27" s="2" t="inlineStr">
        <is>
          <t>SERVICIOS DE TI</t>
        </is>
      </c>
      <c r="N27" s="2" t="inlineStr">
        <is>
          <t>IMPRESION</t>
        </is>
      </c>
      <c r="O27" s="2" t="inlineStr">
        <is>
          <t>SALUD</t>
        </is>
      </c>
      <c r="P27" s="2"/>
      <c r="Q27" s="2" t="inlineStr">
        <is>
          <t>IDGIBMZTENYZ6AT835NFT835NFQHED</t>
        </is>
      </c>
      <c r="R27" s="2" t="inlineStr">
        <is>
          <t>a) 0-4</t>
        </is>
      </c>
      <c r="S27" s="2" t="inlineStr">
        <is>
          <t>-</t>
        </is>
      </c>
      <c r="T27" s="2" t="inlineStr">
        <is>
          <t>22/07/2026 07:51:50</t>
        </is>
      </c>
    </row>
    <row r="28">
      <c r="A28" s="2" t="inlineStr">
        <is>
          <t>🟠</t>
        </is>
      </c>
      <c r="B28" s="3" t="str">
        <f>HYPERLINK("https://compensar-smartit.onbmc.com/smartit/app/#/incident/AGGIBMZTENYZ6AT83LQOT83LQOSOB6","INC000000152890")</f>
        <v>INC000000152890</v>
      </c>
      <c r="C28" s="2" t="inlineStr">
        <is>
          <t>No</t>
        </is>
      </c>
      <c r="D28" s="2" t="inlineStr">
        <is>
          <t>Fallas de Aplicaciones</t>
        </is>
      </c>
      <c r="E28" s="2" t="inlineStr">
        <is>
          <t>Asignado</t>
        </is>
      </c>
      <c r="F28" s="2" t="inlineStr">
        <is>
          <t>Ubicación para atención del Servicio: CHIA PISO 3 SALA ESPERA GENERAL
Número de contacto para la atención del servicio: 3173430520
Frente: SALUD
Aplicación Afectada: OFFICE 365
Numero de Usuarios Afectados: 20
Fecha y hora en que se presenta el incidente:: 2026-07-18T11:00:00.000Z
Proceso al que pertenece (Sigla – Nombre): PSS-90
¿En qué sección de la aplicación ocurre el Error?: [OPCIÓN]
¿Es Recurrente el Error?: SI
Recurrencia (en horas, días, meses): HACE COMO 1 MES, SEMANA A SEMANA
El error es: TODA LA APLICACIÓN
¿Bajo qué casos particulares se presenta el error?: AL INGRESAR A OFFICE 365
Conoce alguna solución temporal que pueda aplicarse o que haya sido aplicada anteriormente?: Se borro el historial y se reinicio el equipo en alguna ocasión y funcionó, pero se volvió a intentar y la pagina sigue con el error.
Escriba detalladamente el error donde clarifique el flujo paso a paso de cómo se presentó: Al ingresar a office 365 en especial al correo aparece un aviso de error
Comportamiento esperado de la aplicación: Poder ingresar sin problema al correo,
Adjunto: [AGGIBMZTENYZ6AT83LNAT83LNASMKU]
</t>
        </is>
      </c>
      <c r="G28" s="2" t="inlineStr">
        <is>
          <t>SERVICIOS DE TECNOLOGIA-GESTION DE APLICACIONES-FALLA</t>
        </is>
      </c>
      <c r="H28" s="2" t="inlineStr">
        <is>
          <t>Portal - Web</t>
        </is>
      </c>
      <c r="I28" s="2" t="inlineStr">
        <is>
          <t>Baja</t>
        </is>
      </c>
      <c r="J28" s="4">
        <v>46221.41777777778</v>
      </c>
      <c r="K28" s="2" t="inlineStr">
        <is>
          <t>MIGUEL JOSE NUÑEZ MARQUEZ</t>
        </is>
      </c>
      <c r="L28" s="2" t="inlineStr">
        <is>
          <t>SPT ZONA NORTE</t>
        </is>
      </c>
      <c r="M28" s="2" t="inlineStr">
        <is>
          <t>SERVICIOS DE TI</t>
        </is>
      </c>
      <c r="N28" s="2"/>
      <c r="O28" s="2" t="inlineStr">
        <is>
          <t>SALUD</t>
        </is>
      </c>
      <c r="P28" s="2"/>
      <c r="Q28" s="2" t="inlineStr">
        <is>
          <t>AGGIBMZTENYZ6AT83LQOT83LQOSOB6</t>
        </is>
      </c>
      <c r="R28" s="2" t="inlineStr">
        <is>
          <t>a) 0-4</t>
        </is>
      </c>
      <c r="S28" s="2" t="inlineStr">
        <is>
          <t>-</t>
        </is>
      </c>
      <c r="T28" s="2" t="inlineStr">
        <is>
          <t>21/07/2026 08:01:36</t>
        </is>
      </c>
    </row>
    <row r="29">
      <c r="A29" s="2" t="inlineStr">
        <is>
          <t>🟢</t>
        </is>
      </c>
      <c r="B29" s="3" t="str">
        <f>HYPERLINK("https://compensar-smartit.onbmc.com/smartit/app/#/incident/AGGIBMZTENYZ6AT83M9RT83M9RTBBU","INC000000152891")</f>
        <v>INC000000152891</v>
      </c>
      <c r="C29" s="2" t="inlineStr">
        <is>
          <t>No</t>
        </is>
      </c>
      <c r="D29" s="2" t="inlineStr">
        <is>
          <t>Falla en Equipo</t>
        </is>
      </c>
      <c r="E29" s="2" t="inlineStr">
        <is>
          <t>Asignado</t>
        </is>
      </c>
      <c r="F29"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c008570
Descripción del incidente o falla: Buen día solicito la revisión del equipo en la ventanilla de gestor ya que reportan que es muy lento y a veces no abre archivos de excel.
</t>
        </is>
      </c>
      <c r="G29" s="2" t="inlineStr">
        <is>
          <t>SERVICIOS DE TECNOLOGIA-SOPORTE EQUIPOS DE COMPUTO-FALLA</t>
        </is>
      </c>
      <c r="H29" s="2" t="inlineStr">
        <is>
          <t>Portal - Web</t>
        </is>
      </c>
      <c r="I29" s="2" t="inlineStr">
        <is>
          <t>Baja</t>
        </is>
      </c>
      <c r="J29" s="4">
        <v>46221.42989583333</v>
      </c>
      <c r="K29" s="2" t="inlineStr">
        <is>
          <t>SANTIAGO PERDOMO ACERO</t>
        </is>
      </c>
      <c r="L29" s="2" t="inlineStr">
        <is>
          <t>ZONA CENTRO</t>
        </is>
      </c>
      <c r="M29" s="2" t="inlineStr">
        <is>
          <t>SERVICIOS DE TI</t>
        </is>
      </c>
      <c r="N29" s="2"/>
      <c r="O29" s="2" t="inlineStr">
        <is>
          <t>SALUD</t>
        </is>
      </c>
      <c r="P29" s="2"/>
      <c r="Q29" s="2" t="inlineStr">
        <is>
          <t>AGGIBMZTENYZ6AT83M9RT83M9RTBBU</t>
        </is>
      </c>
      <c r="R29" s="2" t="inlineStr">
        <is>
          <t>a) 0-4</t>
        </is>
      </c>
      <c r="S29" s="2" t="inlineStr">
        <is>
          <t>-</t>
        </is>
      </c>
      <c r="T29" s="2" t="inlineStr">
        <is>
          <t>22/07/2026 10:19:03</t>
        </is>
      </c>
    </row>
    <row r="30">
      <c r="A30" s="2" t="inlineStr">
        <is>
          <t>🟢</t>
        </is>
      </c>
      <c r="B30" s="3" t="str">
        <f>HYPERLINK("https://compensar-smartit.onbmc.com/smartit/app/#/incident/AGGIBMZTENYZ6AT83MRPT83MRPTE22","INC000000152892")</f>
        <v>INC000000152892</v>
      </c>
      <c r="C30" s="2" t="inlineStr">
        <is>
          <t>No</t>
        </is>
      </c>
      <c r="D30" s="2" t="inlineStr">
        <is>
          <t>Falla en Equipo</t>
        </is>
      </c>
      <c r="E30" s="2" t="inlineStr">
        <is>
          <t>Asignado</t>
        </is>
      </c>
      <c r="F30"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c009021
Descripción del incidente o falla: Buen día solicito la revisión del equipo en la ventanilla de atención al usuario 1 ya que indican que el equipo es muy lento, cuando se abren varios archivos de excel, el proxi se deshabilita y a veces se apaga.
</t>
        </is>
      </c>
      <c r="G30" s="2" t="inlineStr">
        <is>
          <t>SERVICIOS DE TECNOLOGIA-SOPORTE EQUIPOS DE COMPUTO-FALLA</t>
        </is>
      </c>
      <c r="H30" s="2" t="inlineStr">
        <is>
          <t>Portal - Web</t>
        </is>
      </c>
      <c r="I30" s="2" t="inlineStr">
        <is>
          <t>Baja</t>
        </is>
      </c>
      <c r="J30" s="4">
        <v>46221.43320601852</v>
      </c>
      <c r="K30" s="2" t="inlineStr">
        <is>
          <t>SANTIAGO PERDOMO ACERO</t>
        </is>
      </c>
      <c r="L30" s="2" t="inlineStr">
        <is>
          <t>ZONA CENTRO</t>
        </is>
      </c>
      <c r="M30" s="2" t="inlineStr">
        <is>
          <t>SERVICIOS DE TI</t>
        </is>
      </c>
      <c r="N30" s="2"/>
      <c r="O30" s="2" t="inlineStr">
        <is>
          <t>SALUD</t>
        </is>
      </c>
      <c r="P30" s="2"/>
      <c r="Q30" s="2" t="inlineStr">
        <is>
          <t>AGGIBMZTENYZ6AT83MRPT83MRPTE22</t>
        </is>
      </c>
      <c r="R30" s="2" t="inlineStr">
        <is>
          <t>a) 0-4</t>
        </is>
      </c>
      <c r="S30" s="2" t="inlineStr">
        <is>
          <t>-</t>
        </is>
      </c>
      <c r="T30" s="2" t="inlineStr">
        <is>
          <t>22/07/2026 10:23:49</t>
        </is>
      </c>
    </row>
    <row r="31">
      <c r="A31" s="2" t="inlineStr">
        <is>
          <t>🟢</t>
        </is>
      </c>
      <c r="B31" s="3" t="str">
        <f>HYPERLINK("https://compensar-smartit.onbmc.com/smartit/app/#/incident/AGGIBMZTENYZ6AT83MVCT83MVCTGB6","INC000000152893")</f>
        <v>INC000000152893</v>
      </c>
      <c r="C31" s="2" t="inlineStr">
        <is>
          <t>No</t>
        </is>
      </c>
      <c r="D31" s="2" t="inlineStr">
        <is>
          <t>Falla en Equipo</t>
        </is>
      </c>
      <c r="E31" s="2" t="inlineStr">
        <is>
          <t>Asignado</t>
        </is>
      </c>
      <c r="F31" s="2" t="inlineStr">
        <is>
          <t>Ubicación para atención del Servicio: ACUEDUCTO PISO 1 ASIGNACION DE SERVICIOS
Número de contacto para la atención del servicio: 3138570670
Frente: SALUD
Falla: NO ENCIENDE/NO FUNCIONA
¿Cual es el dispositivo que presenta la falla?: [OTRO]
Nombre de equipo (inventario o placa): c008725
Descripción del incidente o falla: Buen día solicito la revisión del equipo en la ventanilla n° 6 ya que indican que el equipo es muy lento, adicional le están apareciendo unas líneas en la pantalla.
</t>
        </is>
      </c>
      <c r="G31" s="2" t="inlineStr">
        <is>
          <t>SERVICIOS DE TECNOLOGIA-SOPORTE EQUIPOS DE COMPUTO-FALLA</t>
        </is>
      </c>
      <c r="H31" s="2" t="inlineStr">
        <is>
          <t>Portal - Web</t>
        </is>
      </c>
      <c r="I31" s="2" t="inlineStr">
        <is>
          <t>Baja</t>
        </is>
      </c>
      <c r="J31" s="4">
        <v>46221.43460648148</v>
      </c>
      <c r="K31" s="2" t="inlineStr">
        <is>
          <t>SANTIAGO PERDOMO ACERO</t>
        </is>
      </c>
      <c r="L31" s="2" t="inlineStr">
        <is>
          <t>ZONA CENTRO</t>
        </is>
      </c>
      <c r="M31" s="2" t="inlineStr">
        <is>
          <t>SERVICIOS DE TI</t>
        </is>
      </c>
      <c r="N31" s="2"/>
      <c r="O31" s="2" t="inlineStr">
        <is>
          <t>SALUD</t>
        </is>
      </c>
      <c r="P31" s="2"/>
      <c r="Q31" s="2" t="inlineStr">
        <is>
          <t>AGGIBMZTENYZ6AT83MVCT83MVCTGB6</t>
        </is>
      </c>
      <c r="R31" s="2" t="inlineStr">
        <is>
          <t>a) 0-4</t>
        </is>
      </c>
      <c r="S31" s="2" t="inlineStr">
        <is>
          <t>-</t>
        </is>
      </c>
      <c r="T31" s="2" t="inlineStr">
        <is>
          <t>22/07/2026 10:25:50</t>
        </is>
      </c>
    </row>
    <row r="32">
      <c r="A32" s="2" t="inlineStr">
        <is>
          <t>🟠</t>
        </is>
      </c>
      <c r="B32" s="3" t="str">
        <f>HYPERLINK("https://compensar-smartit.onbmc.com/smartit/app/#/incident/AGGIBMZTENYZ6AT83NOST83NOSTKM6","INC000000152896")</f>
        <v>INC000000152896</v>
      </c>
      <c r="C32" s="2" t="inlineStr">
        <is>
          <t>No</t>
        </is>
      </c>
      <c r="D32" s="2" t="inlineStr">
        <is>
          <t>Falla en Equipo</t>
        </is>
      </c>
      <c r="E32" s="2" t="inlineStr">
        <is>
          <t>Asignado</t>
        </is>
      </c>
      <c r="F32" s="2" t="inlineStr">
        <is>
          <t>Ubicación para atención del Servicio: SAN ROQUE II PISO 6 CONSULTORIO SALUD ORAL 4
Número de contacto para la atención del servicio: 3115940430
Frente: SALUD
Falla: BLOQUEO
¿Cual es el dispositivo que presenta la falla?: [PANTALLA]
Nombre de equipo (inventario o placa): COMPUTADOR CONSULTORIO 604
Descripción del incidente o falla: Buen Día 
Solicito amablemente de caracter urgente revisión del computador del consultorio 604 de salud oral, ya que a ninguno de los profesionales les permite abrir el correo, teams, el navegador,SAP, SOPRO, afectando el servicio ya que muchas veces los profesionales tienen que cambiarse de consultorio durante la consulta y muchas veces los consultorios estan ocupados y esto afecta la demora en la atención de los pacientes. Agradezco intervenir el equipo ya que tambien el profesional de Endodoncia conecta el lector de Disco y tampoco lo lee y en otros consultorios si lo lee. 
Gracias
</t>
        </is>
      </c>
      <c r="G32" s="2" t="inlineStr">
        <is>
          <t>SERVICIOS DE TECNOLOGIA-SOPORTE EQUIPOS DE COMPUTO-FALLA</t>
        </is>
      </c>
      <c r="H32" s="2" t="inlineStr">
        <is>
          <t>Portal - Web</t>
        </is>
      </c>
      <c r="I32" s="2" t="inlineStr">
        <is>
          <t>Baja</t>
        </is>
      </c>
      <c r="J32" s="4">
        <v>46221.44699074074</v>
      </c>
      <c r="K32" s="2" t="inlineStr">
        <is>
          <t>MIGUEL JOSE NUÑEZ MARQUEZ</t>
        </is>
      </c>
      <c r="L32" s="2" t="inlineStr">
        <is>
          <t>SPT ZONA NORTE</t>
        </is>
      </c>
      <c r="M32" s="2" t="inlineStr">
        <is>
          <t>SERVICIOS DE TI</t>
        </is>
      </c>
      <c r="N32" s="2"/>
      <c r="O32" s="2" t="inlineStr">
        <is>
          <t>SALUD</t>
        </is>
      </c>
      <c r="P32" s="2"/>
      <c r="Q32" s="2" t="inlineStr">
        <is>
          <t>AGGIBMZTENYZ6AT83NOST83NOSTKM6</t>
        </is>
      </c>
      <c r="R32" s="2" t="inlineStr">
        <is>
          <t>a) 0-4</t>
        </is>
      </c>
      <c r="S32" s="2" t="inlineStr">
        <is>
          <t>-</t>
        </is>
      </c>
      <c r="T32" s="2" t="inlineStr">
        <is>
          <t>21/07/2026 08:43:40</t>
        </is>
      </c>
    </row>
    <row r="33">
      <c r="A33" s="2" t="inlineStr">
        <is>
          <t>🟠</t>
        </is>
      </c>
      <c r="B33" s="3" t="str">
        <f>HYPERLINK("https://compensar-smartit.onbmc.com/smartit/app/#/incident/AGGIBMZTENYZ6AT83NZWT83NZWTOQ1","INC000000152897")</f>
        <v>INC000000152897</v>
      </c>
      <c r="C33" s="2" t="inlineStr">
        <is>
          <t>No</t>
        </is>
      </c>
      <c r="D33" s="2" t="inlineStr">
        <is>
          <t>Falla en Equipo</t>
        </is>
      </c>
      <c r="E33" s="2" t="inlineStr">
        <is>
          <t>Asignado</t>
        </is>
      </c>
      <c r="F33" s="2" t="inlineStr">
        <is>
          <t>Ubicación para atención del Servicio: CHIA PISO 3 CONSULTORIO 18
Número de contacto para la atención del servicio: 3115940430
Frente: SALUD
Falla: BLOQUEO
¿Cual es el dispositivo que presenta la falla?: [OTRO]
Nombre de equipo (inventario o placa): COMPUTADOR CONSULTORIO 18
Descripción del incidente o falla: Buen Día 
Solicito amablemente revisión del computador del consultorio 18 salud oral ya que se encuentra muy lento y esto impacta en la operación ya que se atrasa la consulta 
Gracias
</t>
        </is>
      </c>
      <c r="G33" s="2" t="inlineStr">
        <is>
          <t>SERVICIOS DE TECNOLOGIA-SOPORTE EQUIPOS DE COMPUTO-FALLA</t>
        </is>
      </c>
      <c r="H33" s="2" t="inlineStr">
        <is>
          <t>Portal - Web</t>
        </is>
      </c>
      <c r="I33" s="2" t="inlineStr">
        <is>
          <t>Baja</t>
        </is>
      </c>
      <c r="J33" s="4">
        <v>46221.45162037037</v>
      </c>
      <c r="K33" s="2" t="inlineStr">
        <is>
          <t>MIGUEL JOSE NUÑEZ MARQUEZ</t>
        </is>
      </c>
      <c r="L33" s="2" t="inlineStr">
        <is>
          <t>SPT ZONA NORTE</t>
        </is>
      </c>
      <c r="M33" s="2" t="inlineStr">
        <is>
          <t>SERVICIOS DE TI</t>
        </is>
      </c>
      <c r="N33" s="2"/>
      <c r="O33" s="2" t="inlineStr">
        <is>
          <t>SALUD</t>
        </is>
      </c>
      <c r="P33" s="2"/>
      <c r="Q33" s="2" t="inlineStr">
        <is>
          <t>AGGIBMZTENYZ6AT83NZWT83NZWTOQ1</t>
        </is>
      </c>
      <c r="R33" s="2" t="inlineStr">
        <is>
          <t>a) 0-4</t>
        </is>
      </c>
      <c r="S33" s="2" t="inlineStr">
        <is>
          <t>-</t>
        </is>
      </c>
      <c r="T33" s="2" t="inlineStr">
        <is>
          <t>21/07/2026 08:50:20</t>
        </is>
      </c>
    </row>
    <row r="34">
      <c r="A34" s="2" t="inlineStr">
        <is>
          <t>🟠</t>
        </is>
      </c>
      <c r="B34" s="3" t="str">
        <f>HYPERLINK("https://compensar-smartit.onbmc.com/smartit/app/#/incident/IDGGSWY0I24JCAT82A5HT82A5HVQJC","INC000000152913")</f>
        <v>INC000000152913</v>
      </c>
      <c r="C34" s="2" t="inlineStr">
        <is>
          <t>No</t>
        </is>
      </c>
      <c r="D34" s="2" t="inlineStr">
        <is>
          <t>Lentitud de equipo y falla en apertura de aplicativos</t>
        </is>
      </c>
      <c r="E34" s="2" t="inlineStr">
        <is>
          <t>Asignado</t>
        </is>
      </c>
      <c r="F34" s="2" t="inlineStr">
        <is>
          <t>Usuario         : Sirley Paola Acero Ferreira
CC              : 1070961990
Tel             : 3104851168
Placa de equipo : C007690
Informa         : La colaboradora solicita apoyo con la revisión del equipo del consultorio, debido a lentitud asociada al disco. Reporta que no permite la apertura de aplicativos ni la descarga de archivos PDF. Indica que actualmente requieren utilizar el equipo para consulta de pacientes, pero presenta demoras en su funcionamiento y solicita revisión por parte del grupo de sede.
Ubicación       : Facatativá Salud Oral 404 Piso 4
Tiempo          : 1:19 p. m. 17/07/2026
Impacto         : 1
Evidencias      : No especificada</t>
        </is>
      </c>
      <c r="G34" s="2" t="inlineStr">
        <is>
          <t>SERVICIOS DE TECNOLOGIA-SOPORTE EQUIPOS DE COMPUTO-LENTITUD</t>
        </is>
      </c>
      <c r="H34" s="2" t="inlineStr">
        <is>
          <t>Telefono</t>
        </is>
      </c>
      <c r="I34" s="2" t="inlineStr">
        <is>
          <t>Baja</t>
        </is>
      </c>
      <c r="J34" s="4">
        <v>46220.560625</v>
      </c>
      <c r="K34" s="2" t="inlineStr">
        <is>
          <t>NICK STEVE TRIANA LOPEZ</t>
        </is>
      </c>
      <c r="L34" s="2" t="inlineStr">
        <is>
          <t>ZONA OCCIDENTE</t>
        </is>
      </c>
      <c r="M34" s="2" t="inlineStr">
        <is>
          <t>SERVICIOS DE TI</t>
        </is>
      </c>
      <c r="N34" s="2" t="inlineStr">
        <is>
          <t>C176790</t>
        </is>
      </c>
      <c r="O34" s="2" t="inlineStr">
        <is>
          <t>SALUD</t>
        </is>
      </c>
      <c r="P34" s="2"/>
      <c r="Q34" s="2" t="inlineStr">
        <is>
          <t>IDGGSWY0I24JCAT82A5HT82A5HVQJC</t>
        </is>
      </c>
      <c r="R34" s="2" t="inlineStr">
        <is>
          <t>a) 0-4</t>
        </is>
      </c>
      <c r="S34" s="2" t="inlineStr">
        <is>
          <t>-</t>
        </is>
      </c>
      <c r="T34" s="2" t="inlineStr">
        <is>
          <t>21/07/2026 13:27:18</t>
        </is>
      </c>
    </row>
    <row r="35">
      <c r="A35" s="2" t="inlineStr">
        <is>
          <t>🟠</t>
        </is>
      </c>
      <c r="B35" s="3" t="str">
        <f>HYPERLINK("https://compensar-smartit.onbmc.com/smartit/app/#/incident/IDGGSWY0I24JCAT82BPMT82BPMWT0J","INC000000152915")</f>
        <v>INC000000152915</v>
      </c>
      <c r="C35" s="2" t="inlineStr">
        <is>
          <t>No</t>
        </is>
      </c>
      <c r="D35" s="2" t="inlineStr">
        <is>
          <t>Fallo teclado se estan cayendo las teclas</t>
        </is>
      </c>
      <c r="E35" s="2" t="inlineStr">
        <is>
          <t>En curso</t>
        </is>
      </c>
      <c r="F35" s="2" t="inlineStr">
        <is>
          <t>Usuario: Hortua, Andrea
CC: 1023927195
Tel: 3193779355
Informa: Fallo teclado se estan cayendo las teclas
Ubicación: desde casa
Tiempo: 12:58 p. m. 17/07/2026
Impacto: 1
Evidencias: activo P009506</t>
        </is>
      </c>
      <c r="G35" s="2" t="inlineStr">
        <is>
          <t>SERVICIOS DE TECNOLOGIA-SOPORTE EQUIPOS DE COMPUTO-FALLA</t>
        </is>
      </c>
      <c r="H35" s="2" t="inlineStr">
        <is>
          <t>Telefono</t>
        </is>
      </c>
      <c r="I35" s="2" t="inlineStr">
        <is>
          <t>Baja</t>
        </is>
      </c>
      <c r="J35" s="4">
        <v>46220.58138888889</v>
      </c>
      <c r="K35" s="2" t="inlineStr">
        <is>
          <t>KEVIN ALEXIS GARCIA GUARACA</t>
        </is>
      </c>
      <c r="L35" s="2" t="inlineStr">
        <is>
          <t>ZONA CENTRO</t>
        </is>
      </c>
      <c r="M35" s="2" t="inlineStr">
        <is>
          <t>SERVICIOS DE TI</t>
        </is>
      </c>
      <c r="N35" s="2" t="inlineStr">
        <is>
          <t>P009506</t>
        </is>
      </c>
      <c r="O35" s="2" t="inlineStr">
        <is>
          <t>BIENESTAR Y DESARROLLO SOCIAL</t>
        </is>
      </c>
      <c r="P35" s="2"/>
      <c r="Q35" s="2" t="inlineStr">
        <is>
          <t>IDGGSWY0I24JCAT82BPMT82BPMWT0J</t>
        </is>
      </c>
      <c r="R35" s="2" t="inlineStr">
        <is>
          <t>a) 0-4</t>
        </is>
      </c>
      <c r="S35" s="2" t="inlineStr">
        <is>
          <t>-</t>
        </is>
      </c>
      <c r="T35" s="2" t="inlineStr">
        <is>
          <t>21/07/2026 13:57:12</t>
        </is>
      </c>
    </row>
    <row r="36">
      <c r="A36" s="2" t="inlineStr">
        <is>
          <t>🟢</t>
        </is>
      </c>
      <c r="B36" s="3" t="str">
        <f>HYPERLINK("https://compensar-smartit.onbmc.com/smartit/app/#/incident/IDGGSWY0I24JCAT82C9XT82C9XXO78","INC000000152919")</f>
        <v>INC000000152919</v>
      </c>
      <c r="C36" s="2" t="inlineStr">
        <is>
          <t>No</t>
        </is>
      </c>
      <c r="D36" s="2" t="inlineStr">
        <is>
          <t>Problema de apertura de Adobe Acrobat desde SAP - Instancia corriendo</t>
        </is>
      </c>
      <c r="E36" s="2" t="inlineStr">
        <is>
          <t>Asignado</t>
        </is>
      </c>
      <c r="F36" s="2" t="inlineStr">
        <is>
          <t>Usuario: ANGUIE CAROLINA SUAREZ DIAZ
Informa: La usuaria se comunica con la Mesa de Servicio indicando que Adobe Acrobat no abre en el equipo.
Ubicación: Facatativá
Tiempo: 14:08 17/7/2026
Impacto: Usuarios afectados 1
Placa de equipo: No especificada
Evidencias:
1. Se recibió el reporte relacionado con la apertura de Adobe Acrobat.
2. Se validó el inconveniente presentado por la usuaria.
3. Se documentó la novedad para la gestión correspondiente.</t>
        </is>
      </c>
      <c r="G36" s="2" t="inlineStr">
        <is>
          <t>SERVICIOS DE TECNOLOGIA-APLICACIONES DE NEGOCIO-FALLA</t>
        </is>
      </c>
      <c r="H36" s="2" t="inlineStr">
        <is>
          <t>Telefono</t>
        </is>
      </c>
      <c r="I36" s="2" t="inlineStr">
        <is>
          <t>Baja</t>
        </is>
      </c>
      <c r="J36" s="4">
        <v>46220.5909375</v>
      </c>
      <c r="K36" s="2" t="inlineStr">
        <is>
          <t>NICK STEVE TRIANA LOPEZ</t>
        </is>
      </c>
      <c r="L36" s="2" t="inlineStr">
        <is>
          <t>ZONA OCCIDENTE</t>
        </is>
      </c>
      <c r="M36" s="2" t="inlineStr">
        <is>
          <t>SERVICIOS DE TI</t>
        </is>
      </c>
      <c r="N36" s="2" t="inlineStr">
        <is>
          <t>SISTEMA OPERATIVO WINDOWS</t>
        </is>
      </c>
      <c r="O36" s="2" t="inlineStr">
        <is>
          <t>SALUD</t>
        </is>
      </c>
      <c r="P36" s="2"/>
      <c r="Q36" s="2" t="inlineStr">
        <is>
          <t>IDGGSWY0I24JCAT82C9XT82C9XXO78</t>
        </is>
      </c>
      <c r="R36" s="2" t="inlineStr">
        <is>
          <t>a) 0-4</t>
        </is>
      </c>
      <c r="S36" s="2" t="inlineStr">
        <is>
          <t>-</t>
        </is>
      </c>
      <c r="T36" s="2" t="inlineStr">
        <is>
          <t>21/07/2026 14:10:57</t>
        </is>
      </c>
    </row>
    <row r="37">
      <c r="A37" s="2" t="inlineStr">
        <is>
          <t>🟢</t>
        </is>
      </c>
      <c r="B37" s="3" t="str">
        <f>HYPERLINK("https://compensar-smartit.onbmc.com/smartit/app/#/incident/IDGGSWY0I24JCAT82GLBT82GLBDZD4","INC000000152934")</f>
        <v>INC000000152934</v>
      </c>
      <c r="C37" s="2" t="inlineStr">
        <is>
          <t>No</t>
        </is>
      </c>
      <c r="D37" s="2" t="inlineStr">
        <is>
          <t>Falla en en desktop C003264 no toma internet</t>
        </is>
      </c>
      <c r="E37" s="2" t="inlineStr">
        <is>
          <t>Asignado</t>
        </is>
      </c>
      <c r="F37" s="2" t="inlineStr">
        <is>
          <t>Usuario: KAREN JULIANA ALEMAN LINARES 
CC: 1000457728 
Teléfono: 3214315270
Informa: Falla en en desktop C003264 no toma internet
Ubicación: san roque 1
Tiempo: 3:33 p. m. 17/07/2026
Impacto:1</t>
        </is>
      </c>
      <c r="G37" s="2" t="inlineStr">
        <is>
          <t>SERVICIOS DE TECNOLOGIA-APLICACIONES DE NEGOCIO-FALLA</t>
        </is>
      </c>
      <c r="H37" s="2" t="inlineStr">
        <is>
          <t>Telefono</t>
        </is>
      </c>
      <c r="I37" s="2" t="inlineStr">
        <is>
          <t>Baja</t>
        </is>
      </c>
      <c r="J37" s="4">
        <v>46220.652349537035</v>
      </c>
      <c r="K37" s="2" t="inlineStr">
        <is>
          <t>MIGUEL JOSE NUÑEZ MARQUEZ</t>
        </is>
      </c>
      <c r="L37" s="2" t="inlineStr">
        <is>
          <t>ZONA NORTE</t>
        </is>
      </c>
      <c r="M37" s="2" t="inlineStr">
        <is>
          <t>SERVICIOS DE TI</t>
        </is>
      </c>
      <c r="N37" s="2" t="inlineStr">
        <is>
          <t>C003264</t>
        </is>
      </c>
      <c r="O37" s="2" t="inlineStr">
        <is>
          <t>CENTRO DE SERVICIOS COMPARTIDOS</t>
        </is>
      </c>
      <c r="P37" s="2"/>
      <c r="Q37" s="2" t="inlineStr">
        <is>
          <t>IDGGSWY0I24JCAT82GLBT82GLBDZD4</t>
        </is>
      </c>
      <c r="R37" s="2" t="inlineStr">
        <is>
          <t>a) 0-4</t>
        </is>
      </c>
      <c r="S37" s="2" t="inlineStr">
        <is>
          <t>-</t>
        </is>
      </c>
      <c r="T37" s="2" t="inlineStr">
        <is>
          <t>21/07/2026 15:39:23</t>
        </is>
      </c>
    </row>
    <row r="38">
      <c r="A38" s="2" t="inlineStr">
        <is>
          <t>🟢</t>
        </is>
      </c>
      <c r="B38" s="3" t="str">
        <f>HYPERLINK("https://compensar-smartit.onbmc.com/smartit/app/#/incident/IDGGSWY0I24JCAT82INGT82INGGJYC","INC000000152939")</f>
        <v>INC000000152939</v>
      </c>
      <c r="C38" s="2" t="inlineStr">
        <is>
          <t>No</t>
        </is>
      </c>
      <c r="D38" s="2" t="inlineStr">
        <is>
          <t>computador bolera genera error en el servicio perfil del usuario != null</t>
        </is>
      </c>
      <c r="E38" s="2" t="inlineStr">
        <is>
          <t>Pendiente</t>
        </is>
      </c>
      <c r="F38" s="2" t="inlineStr">
        <is>
          <t>Usuario: YENY PAOLA RODRIGUEZ DELGADO
Informa: computador bolera genera error en el servicio perfil del usuario != null
Ubicación: sótano 1 bolera
Tiempo: 16
Impacto: 1
Evidencias: error de inciio de sesión no toma usuarios el equipo no puede ver cual es el activo</t>
        </is>
      </c>
      <c r="G38" s="2" t="inlineStr">
        <is>
          <t>SERVICIOS DE TECNOLOGIA-SOPORTE EQUIPOS DE COMPUTO-FALLA</t>
        </is>
      </c>
      <c r="H38" s="2" t="inlineStr">
        <is>
          <t>Chat</t>
        </is>
      </c>
      <c r="I38" s="2" t="inlineStr">
        <is>
          <t>Baja</t>
        </is>
      </c>
      <c r="J38" s="4">
        <v>46220.69364583334</v>
      </c>
      <c r="K38" s="2" t="inlineStr">
        <is>
          <t>DANIEL ALEJANDRO BORDA MESTIZO</t>
        </is>
      </c>
      <c r="L38" s="2" t="inlineStr">
        <is>
          <t>ZONA CENTRO</t>
        </is>
      </c>
      <c r="M38" s="2" t="inlineStr">
        <is>
          <t>SERVICIOS DE TI</t>
        </is>
      </c>
      <c r="N38" s="2"/>
      <c r="O38" s="2" t="inlineStr">
        <is>
          <t>BIENESTAR Y DESARROLLO SOCIAL</t>
        </is>
      </c>
      <c r="P38" s="2"/>
      <c r="Q38" s="2" t="inlineStr">
        <is>
          <t>IDGGSWY0I24JCAT82INGT82INGGJYC</t>
        </is>
      </c>
      <c r="R38" s="2" t="inlineStr">
        <is>
          <t>a) 0-4</t>
        </is>
      </c>
      <c r="S38" s="2" t="inlineStr">
        <is>
          <t>21/07/2026 21:00:00</t>
        </is>
      </c>
      <c r="T38" s="2" t="inlineStr">
        <is>
          <t>-</t>
        </is>
      </c>
    </row>
    <row r="39">
      <c r="A39" s="2" t="inlineStr">
        <is>
          <t>🟢</t>
        </is>
      </c>
      <c r="B39" s="3" t="str">
        <f>HYPERLINK("https://compensar-smartit.onbmc.com/smartit/app/#/incident/IDGGSWY0I24JCAT82JJAT82JJAGXTA","INC000000152944")</f>
        <v>INC000000152944</v>
      </c>
      <c r="C39" s="2" t="inlineStr">
        <is>
          <t>No</t>
        </is>
      </c>
      <c r="D39" s="2" t="inlineStr">
        <is>
          <t>Falla Global, sale error necesita cambiar el tipo de conexión</t>
        </is>
      </c>
      <c r="E39" s="2" t="inlineStr">
        <is>
          <t>Pendiente</t>
        </is>
      </c>
      <c r="F39" s="2" t="inlineStr">
        <is>
          <t>Usuario: Maryuri Alejandra Castañeda Florez
Informa: Falla Global, sale error necesita cambiar el tipo de conexión y no permite la conexión.
Ubicación: Teletrabajo, Sede empresarial
Tiempo: 1 dia
Impacto: 1 Usuario</t>
        </is>
      </c>
      <c r="G39" s="2" t="inlineStr">
        <is>
          <t>SERVICIOS DE TECNOLOGIA-SOPORTE EQUIPOS DE COMPUTO-FALLA</t>
        </is>
      </c>
      <c r="H39" s="2" t="inlineStr">
        <is>
          <t>Telefono</t>
        </is>
      </c>
      <c r="I39" s="2" t="inlineStr">
        <is>
          <t>Baja</t>
        </is>
      </c>
      <c r="J39" s="4">
        <v>46220.69435185185</v>
      </c>
      <c r="K39" s="2" t="inlineStr">
        <is>
          <t>DANIEL ALEJANDRO BORDA MESTIZO</t>
        </is>
      </c>
      <c r="L39" s="2" t="inlineStr">
        <is>
          <t>ZONA CENTRO</t>
        </is>
      </c>
      <c r="M39" s="2" t="inlineStr">
        <is>
          <t>SERVICIOS DE TI</t>
        </is>
      </c>
      <c r="N39" s="2" t="inlineStr">
        <is>
          <t>VPN_CHECK_POINT EPS</t>
        </is>
      </c>
      <c r="O39" s="2" t="inlineStr">
        <is>
          <t>BIENESTAR Y DESARROLLO SOCIAL</t>
        </is>
      </c>
      <c r="P39" s="2" t="inlineStr">
        <is>
          <t>SOLUCION DEFINITIVA</t>
        </is>
      </c>
      <c r="Q39" s="2" t="inlineStr">
        <is>
          <t>IDGGSWY0I24JCAT82JJAT82JJAGXTA</t>
        </is>
      </c>
      <c r="R39" s="2" t="inlineStr">
        <is>
          <t>a) 0-4</t>
        </is>
      </c>
      <c r="S39" s="2" t="inlineStr">
        <is>
          <t>21/07/2026 21:00:00</t>
        </is>
      </c>
      <c r="T39" s="2" t="inlineStr">
        <is>
          <t>-</t>
        </is>
      </c>
    </row>
    <row r="40">
      <c r="A40" s="2" t="inlineStr">
        <is>
          <t>🟢</t>
        </is>
      </c>
      <c r="B40" s="3" t="str">
        <f>HYPERLINK("https://compensar-smartit.onbmc.com/smartit/app/#/incident/IDGGSWY0I24JCAT8262BT8262B277Q","INC000000152956")</f>
        <v>INC000000152956</v>
      </c>
      <c r="C40" s="2" t="inlineStr">
        <is>
          <t>No</t>
        </is>
      </c>
      <c r="D40" s="2" t="inlineStr">
        <is>
          <t>FALLA IMPRESORA ZEBRA  D0N212200219   NO IMPRIME</t>
        </is>
      </c>
      <c r="E40" s="2" t="inlineStr">
        <is>
          <t>Pendiente</t>
        </is>
      </c>
      <c r="F40" s="2" t="inlineStr">
        <is>
          <t>Usuario:INGRID VANESSA ROMERO HERRERA
Informa:FALLA IMPRESORA ZEBRA  D0N212200219   NO IMPRIME
Ubicación: AUTO SUR PISO 1 SALAS DE CIRUGIA
Tiempo: 17-07-2026  7:08PM
Impacto: 1         
Evidencias: NO</t>
        </is>
      </c>
      <c r="G40" s="2" t="inlineStr">
        <is>
          <t>SERVICIOS DE TECNOLOGIA-SERVICIOS DE IMPRESION/ESCANER-FALLA DE IMPRESION</t>
        </is>
      </c>
      <c r="H40" s="2" t="inlineStr">
        <is>
          <t>Telefono</t>
        </is>
      </c>
      <c r="I40" s="2" t="inlineStr">
        <is>
          <t>Baja</t>
        </is>
      </c>
      <c r="J40" s="4">
        <v>46220.797685185185</v>
      </c>
      <c r="K40" s="2" t="inlineStr">
        <is>
          <t>MICHAEL STEVEN FRAILE GOMEZ</t>
        </is>
      </c>
      <c r="L40" s="2" t="inlineStr">
        <is>
          <t>SPT ZONA SURORIENTE</t>
        </is>
      </c>
      <c r="M40" s="2" t="inlineStr">
        <is>
          <t>SERVICIOS DE TI</t>
        </is>
      </c>
      <c r="N40" s="2" t="inlineStr">
        <is>
          <t>IMPRESION</t>
        </is>
      </c>
      <c r="O40" s="2" t="inlineStr">
        <is>
          <t>SALUD</t>
        </is>
      </c>
      <c r="P40" s="2"/>
      <c r="Q40" s="2" t="inlineStr">
        <is>
          <t>IDGGSWY0I24JCAT8262BT8262B277Q</t>
        </is>
      </c>
      <c r="R40" s="2" t="inlineStr">
        <is>
          <t>a) 0-4</t>
        </is>
      </c>
      <c r="S40" s="2" t="inlineStr">
        <is>
          <t>21/07/2026 17:00:00</t>
        </is>
      </c>
      <c r="T40" s="2" t="inlineStr">
        <is>
          <t>-</t>
        </is>
      </c>
    </row>
    <row r="41">
      <c r="A41" s="2" t="inlineStr">
        <is>
          <t>🟢</t>
        </is>
      </c>
      <c r="B41" s="3" t="str">
        <f>HYPERLINK("https://compensar-smartit.onbmc.com/smartit/app/#/incident/IDGGSWY0I24JCAT829WNT829WN4CU3","INC000000152958")</f>
        <v>INC000000152958</v>
      </c>
      <c r="C41" s="2" t="inlineStr">
        <is>
          <t>No</t>
        </is>
      </c>
      <c r="D41" s="2" t="inlineStr">
        <is>
          <t>Descartes de primer nivel</t>
        </is>
      </c>
      <c r="E41" s="2" t="inlineStr">
        <is>
          <t>Pendiente</t>
        </is>
      </c>
      <c r="F41" s="2" t="inlineStr">
        <is>
          <t>Nuestra herramienta de monitoreo evidencia caída del enlace RT_CONSORCIO-SALUD_CAJICA_2065322.CO.cwc.com de la sede NORDVITAL CAJICA, solicitamos su colaboración realizando descartes físicos y eléctricos en sede.</t>
        </is>
      </c>
      <c r="G41" s="2" t="inlineStr">
        <is>
          <t>SERVICIOS DE TECNOLOGIA-APLICACIONES DE NEGOCIO-CAIDA</t>
        </is>
      </c>
      <c r="H41" s="2" t="inlineStr">
        <is>
          <t>Telefono</t>
        </is>
      </c>
      <c r="I41" s="2" t="inlineStr">
        <is>
          <t>Baja</t>
        </is>
      </c>
      <c r="J41" s="4">
        <v>46220.85126157408</v>
      </c>
      <c r="K41" s="2" t="inlineStr">
        <is>
          <t>MIGUEL JOSE NUÑEZ MARQUEZ</t>
        </is>
      </c>
      <c r="L41" s="2" t="inlineStr">
        <is>
          <t>SPT ZONA NORTE</t>
        </is>
      </c>
      <c r="M41" s="2" t="inlineStr">
        <is>
          <t>SERVICIOS DE TI</t>
        </is>
      </c>
      <c r="N41" s="2" t="inlineStr">
        <is>
          <t>INTERNET</t>
        </is>
      </c>
      <c r="O41" s="2" t="inlineStr">
        <is>
          <t>SALUD</t>
        </is>
      </c>
      <c r="P41" s="2"/>
      <c r="Q41" s="2" t="inlineStr">
        <is>
          <t>IDGGSWY0I24JCAT829WNT829WN4CU3</t>
        </is>
      </c>
      <c r="R41" s="2" t="inlineStr">
        <is>
          <t>a) 0-4</t>
        </is>
      </c>
      <c r="S41" s="2" t="inlineStr">
        <is>
          <t>-</t>
        </is>
      </c>
      <c r="T41" s="2" t="inlineStr">
        <is>
          <t>-</t>
        </is>
      </c>
    </row>
    <row r="42">
      <c r="A42" s="2" t="inlineStr">
        <is>
          <t>🟢</t>
        </is>
      </c>
      <c r="B42" s="3" t="str">
        <f>HYPERLINK("https://compensar-smartit.onbmc.com/smartit/app/#/incident/AGGGSWY0I24JCAT8379GT8379GML83","INC000000152978")</f>
        <v>INC000000152978</v>
      </c>
      <c r="C42" s="2" t="inlineStr">
        <is>
          <t>No</t>
        </is>
      </c>
      <c r="D42" s="2" t="inlineStr">
        <is>
          <t>Falla en Equipo</t>
        </is>
      </c>
      <c r="E42" s="2" t="inlineStr">
        <is>
          <t>Pendiente</t>
        </is>
      </c>
      <c r="F42" s="2" t="inlineStr">
        <is>
          <t>Ubicación para atención del Servicio: US C42 TORRE B PISO 6 CONSULTORIO SAM 609
Número de contacto para la atención del servicio: 12677
Frente: SALUD
Falla: BLOQUEO
¿Cual es el dispositivo que presenta la falla?: [OTRO]
Nombre de equipo (inventario o placa): BLOQUEO PDF
Descripción del incidente o falla: Se solicita revisión de aplicación PDF no esta permitiendo descargar archivos.
</t>
        </is>
      </c>
      <c r="G42" s="2" t="inlineStr">
        <is>
          <t>SERVICIOS DE TECNOLOGIA-SOPORTE EQUIPOS DE COMPUTO-FALLA</t>
        </is>
      </c>
      <c r="H42" s="2" t="inlineStr">
        <is>
          <t>Portal - Web</t>
        </is>
      </c>
      <c r="I42" s="2" t="inlineStr">
        <is>
          <t>Baja</t>
        </is>
      </c>
      <c r="J42" s="4">
        <v>46221.35465277778</v>
      </c>
      <c r="K42" s="2" t="inlineStr">
        <is>
          <t>DAVID ESTEBAN DIAZ LLANOS</t>
        </is>
      </c>
      <c r="L42" s="2" t="inlineStr">
        <is>
          <t>SPT CABECERA CALLE 42</t>
        </is>
      </c>
      <c r="M42" s="2" t="inlineStr">
        <is>
          <t>SERVICIOS DE TI</t>
        </is>
      </c>
      <c r="N42" s="2"/>
      <c r="O42" s="2" t="inlineStr">
        <is>
          <t>SALUD</t>
        </is>
      </c>
      <c r="P42" s="2"/>
      <c r="Q42" s="2" t="inlineStr">
        <is>
          <t>AGGGSWY0I24JCAT8379GT8379GML83</t>
        </is>
      </c>
      <c r="R42" s="2" t="inlineStr">
        <is>
          <t>a) 0-4</t>
        </is>
      </c>
      <c r="S42" s="2" t="inlineStr">
        <is>
          <t>21/07/2026 22:00:00</t>
        </is>
      </c>
      <c r="T42" s="2" t="inlineStr">
        <is>
          <t>-</t>
        </is>
      </c>
    </row>
    <row r="43">
      <c r="A43" s="2" t="inlineStr">
        <is>
          <t>🟢</t>
        </is>
      </c>
      <c r="B43" s="3" t="str">
        <f>HYPERLINK("https://compensar-smartit.onbmc.com/smartit/app/#/incident/IDGGSWY0I24JCAT838BAT838BAMWO5","INC000000152980")</f>
        <v>INC000000152980</v>
      </c>
      <c r="C43" s="2" t="inlineStr">
        <is>
          <t>No</t>
        </is>
      </c>
      <c r="D43" s="2" t="inlineStr">
        <is>
          <t>Capacidad de almacenamiento insuficiente en la unidad C:</t>
        </is>
      </c>
      <c r="E43" s="2" t="inlineStr">
        <is>
          <t>Pendiente</t>
        </is>
      </c>
      <c r="F43" s="2" t="inlineStr">
        <is>
          <t>Usuario: Laura María Salcedo Flórez
La usuaria se comunica con la Mesa de Servicio para reportar que la unidad C: del equipo presenta capacidad de almacenamiento insuficiente, lo que afecta el funcionamiento normal de la estación de trabajo e impide el desarrollo de sus actividades.
Ubicación: Autopista Sur, piso 1, ventanilla 26.
Fecha y hora del reporte: 18/07/2026 – 8:26 a. m.
Impacto: 1 usuario afectado.
Placa del equipo: C006418.
Evidencias:
1.Se realizan actividades de soporte de Nivel 1, incluyendo la eliminación de archivos temporales y la liberación de espacio en la unidad C:.
2.Posterior a las validaciones, se evidencia que la capacidad de almacenamiento de la unidad C: no presenta una reducción significativa en el espacio utilizado.
3.Debido a que el incidente persiste, el caso se escala al equipo de Soporte Técnico en Sitio para su diagnóstico, validación y gestión correspondiente.</t>
        </is>
      </c>
      <c r="G43" s="2" t="inlineStr">
        <is>
          <t>SERVICIOS DE TECNOLOGIA-SOPORTE EQUIPOS DE COMPUTO-LENTITUD</t>
        </is>
      </c>
      <c r="H43" s="2" t="inlineStr">
        <is>
          <t>Telefono</t>
        </is>
      </c>
      <c r="I43" s="2" t="inlineStr">
        <is>
          <t>Baja</t>
        </is>
      </c>
      <c r="J43" s="4">
        <v>46221.36892361111</v>
      </c>
      <c r="K43" s="2" t="inlineStr">
        <is>
          <t>JEFFERSON ESCOBAR ALDANA</t>
        </is>
      </c>
      <c r="L43" s="2" t="inlineStr">
        <is>
          <t>SPT ZONA SURORIENTE</t>
        </is>
      </c>
      <c r="M43" s="2" t="inlineStr">
        <is>
          <t>SERVICIOS DE TI</t>
        </is>
      </c>
      <c r="N43" s="2" t="inlineStr">
        <is>
          <t>C006418</t>
        </is>
      </c>
      <c r="O43" s="2" t="inlineStr">
        <is>
          <t>SALUD</t>
        </is>
      </c>
      <c r="P43" s="2"/>
      <c r="Q43" s="2" t="inlineStr">
        <is>
          <t>IDGGSWY0I24JCAT838BAT838BAMWO5</t>
        </is>
      </c>
      <c r="R43" s="2" t="inlineStr">
        <is>
          <t>a) 0-4</t>
        </is>
      </c>
      <c r="S43" s="2" t="inlineStr">
        <is>
          <t>21/07/2026 16:00:00</t>
        </is>
      </c>
      <c r="T43" s="2" t="inlineStr">
        <is>
          <t>-</t>
        </is>
      </c>
    </row>
    <row r="44">
      <c r="A44" s="2" t="inlineStr">
        <is>
          <t>🟢</t>
        </is>
      </c>
      <c r="B44" s="3" t="str">
        <f>HYPERLINK("https://compensar-smartit.onbmc.com/smartit/app/#/incident/IDGGSWY0I24JCAT83K2XT83K2XOH4U","INC000000152987")</f>
        <v>INC000000152987</v>
      </c>
      <c r="C44" s="2" t="inlineStr">
        <is>
          <t>No</t>
        </is>
      </c>
      <c r="D44" s="2" t="inlineStr">
        <is>
          <t>Falla novedad con el touchpad del mouse,lentitud en equipo</t>
        </is>
      </c>
      <c r="E44" s="2" t="inlineStr">
        <is>
          <t>Asignado</t>
        </is>
      </c>
      <c r="F44" s="2" t="inlineStr">
        <is>
          <t>Usuario:Olga Patricia Moreno Nuñez
Informa: El usuario   se comunica indicando que presenta falla novedad con archivo de Excel ,lentitud en el equipo , indica que el toucpad del mouse no funciona de manera correcta
Ubicación:calle 94  piso 7 recepción 
Tiempo:9:27 a. m. 18/07/2026
Impacto: Usuarios afectados:1
el usuario indica que requiere el ticket ya que se encuentra validando con el area encargada</t>
        </is>
      </c>
      <c r="G44" s="2" t="inlineStr">
        <is>
          <t>SERVICIOS DE TECNOLOGIA-APLICACIONES DE NEGOCIO-FALLA</t>
        </is>
      </c>
      <c r="H44" s="2" t="inlineStr">
        <is>
          <t>Telefono</t>
        </is>
      </c>
      <c r="I44" s="2" t="inlineStr">
        <is>
          <t>Baja</t>
        </is>
      </c>
      <c r="J44" s="4">
        <v>46221.39881944445</v>
      </c>
      <c r="K44" s="2" t="inlineStr">
        <is>
          <t>MARIA FERNANDA PEREIRA BUENO</t>
        </is>
      </c>
      <c r="L44" s="2" t="inlineStr">
        <is>
          <t>ZONA NORTE</t>
        </is>
      </c>
      <c r="M44" s="2" t="inlineStr">
        <is>
          <t>SERVICIOS DE TI</t>
        </is>
      </c>
      <c r="N44" s="2" t="inlineStr">
        <is>
          <t>C005727</t>
        </is>
      </c>
      <c r="O44" s="2" t="inlineStr">
        <is>
          <t>BIENESTAR Y DESARROLLO SOCIAL</t>
        </is>
      </c>
      <c r="P44" s="2"/>
      <c r="Q44" s="2" t="inlineStr">
        <is>
          <t>IDGGSWY0I24JCAT83K2XT83K2XOH4U</t>
        </is>
      </c>
      <c r="R44" s="2" t="inlineStr">
        <is>
          <t>a) 0-4</t>
        </is>
      </c>
      <c r="S44" s="2" t="inlineStr">
        <is>
          <t>-</t>
        </is>
      </c>
      <c r="T44" s="2" t="inlineStr">
        <is>
          <t>22/07/2026 09:34:18</t>
        </is>
      </c>
    </row>
    <row r="45">
      <c r="A45" s="2" t="inlineStr">
        <is>
          <t>🟠</t>
        </is>
      </c>
      <c r="B45" s="3" t="str">
        <f>HYPERLINK("https://compensar-smartit.onbmc.com/smartit/app/#/incident/AGGGSWY0I24JCAT83KWWT83KWWO4SJ","INC000000152990")</f>
        <v>INC000000152990</v>
      </c>
      <c r="C45" s="2" t="inlineStr">
        <is>
          <t>No</t>
        </is>
      </c>
      <c r="D45" s="2" t="inlineStr">
        <is>
          <t>Otras Fallas</t>
        </is>
      </c>
      <c r="E45" s="2" t="inlineStr">
        <is>
          <t>Asignado</t>
        </is>
      </c>
      <c r="F45" s="2" t="inlineStr">
        <is>
          <t>Ubicación para atención del Servicio: SAN ROQUE PISO MEZZANINE OFICINA ADMINISTRADOR
Número de contacto para la atención del servicio: 3209645135
Frente: SALUD
Afectación: OTRO SERVICIO
Nombre del Servicio Afectado: ANALISYS FOR EXCEL
Nombre de equipo (inventario o placa): C025605
Descripción del incidente o falla: Buen día solicito de su colaboración con el arreglo del aplicativo de complemento ANALISYS FOR EXCEL me cambiaron el equipo y no funciona.
Adjunto: [AGGGSWY0I24JCAT83KWRT83KWRO4O3]
</t>
        </is>
      </c>
      <c r="G45" s="2" t="inlineStr">
        <is>
          <t>SERVICIOS DE TECNOLOGIA-GESTION DE APLICACIONES-FALLA</t>
        </is>
      </c>
      <c r="H45" s="2" t="inlineStr">
        <is>
          <t>Portal - Web</t>
        </is>
      </c>
      <c r="I45" s="2" t="inlineStr">
        <is>
          <t>Baja</t>
        </is>
      </c>
      <c r="J45" s="4">
        <v>46221.40537037037</v>
      </c>
      <c r="K45" s="2" t="inlineStr">
        <is>
          <t>MIGUEL JOSE NUÑEZ MARQUEZ</t>
        </is>
      </c>
      <c r="L45" s="2" t="inlineStr">
        <is>
          <t>SPT ZONA NORTE</t>
        </is>
      </c>
      <c r="M45" s="2" t="inlineStr">
        <is>
          <t>SERVICIOS DE TI</t>
        </is>
      </c>
      <c r="N45" s="2"/>
      <c r="O45" s="2" t="inlineStr">
        <is>
          <t>SALUD</t>
        </is>
      </c>
      <c r="P45" s="2"/>
      <c r="Q45" s="2" t="inlineStr">
        <is>
          <t>AGGGSWY0I24JCAT83KWWT83KWWO4SJ</t>
        </is>
      </c>
      <c r="R45" s="2" t="inlineStr">
        <is>
          <t>a) 0-4</t>
        </is>
      </c>
      <c r="S45" s="2" t="inlineStr">
        <is>
          <t>-</t>
        </is>
      </c>
      <c r="T45" s="2" t="inlineStr">
        <is>
          <t>21/07/2026 07:43:44</t>
        </is>
      </c>
    </row>
    <row r="46">
      <c r="A46" s="2" t="inlineStr">
        <is>
          <t>🟢</t>
        </is>
      </c>
      <c r="B46" s="3" t="str">
        <f>HYPERLINK("https://compensar-smartit.onbmc.com/smartit/app/#/incident/AGGGSWY0I24JCAT83MN7T83MN7PE8H","INC000000152994")</f>
        <v>INC000000152994</v>
      </c>
      <c r="C46" s="2" t="inlineStr">
        <is>
          <t>No</t>
        </is>
      </c>
      <c r="D46" s="2" t="inlineStr">
        <is>
          <t>Falla en Equipo</t>
        </is>
      </c>
      <c r="E46" s="2" t="inlineStr">
        <is>
          <t>Asignado</t>
        </is>
      </c>
      <c r="F46" s="2" t="inlineStr">
        <is>
          <t>Ubicación para atención del Servicio: ACUEDUCTO PISO 1 ASIGNACION DE SERVICIOS
Número de contacto para la atención del servicio: 3138570670
Frente: SALUD
Falla: NO ENCIENDE/NO FUNCIONA
¿Cual es el dispositivo que presenta la falla?: [PANTALLA]
Nombre de equipo (inventario o placa): c008373
Descripción del incidente o falla: Buen día solicito la revisión del equipo en la ventanilla de gestor back cirugía ubicado en la 3 sala ya que reportan que es muy lento y a veces se apaga.
</t>
        </is>
      </c>
      <c r="G46" s="2" t="inlineStr">
        <is>
          <t>SERVICIOS DE TECNOLOGIA-SOPORTE EQUIPOS DE COMPUTO-FALLA</t>
        </is>
      </c>
      <c r="H46" s="2" t="inlineStr">
        <is>
          <t>Portal - Web</t>
        </is>
      </c>
      <c r="I46" s="2" t="inlineStr">
        <is>
          <t>Baja</t>
        </is>
      </c>
      <c r="J46" s="4">
        <v>46221.431446759256</v>
      </c>
      <c r="K46" s="2" t="inlineStr">
        <is>
          <t>SANTIAGO PERDOMO ACERO</t>
        </is>
      </c>
      <c r="L46" s="2" t="inlineStr">
        <is>
          <t>ZONA CENTRO</t>
        </is>
      </c>
      <c r="M46" s="2" t="inlineStr">
        <is>
          <t>SERVICIOS DE TI</t>
        </is>
      </c>
      <c r="N46" s="2"/>
      <c r="O46" s="2" t="inlineStr">
        <is>
          <t>SALUD</t>
        </is>
      </c>
      <c r="P46" s="2"/>
      <c r="Q46" s="2" t="inlineStr">
        <is>
          <t>AGGGSWY0I24JCAT83MN7T83MN7PE8H</t>
        </is>
      </c>
      <c r="R46" s="2" t="inlineStr">
        <is>
          <t>a) 0-4</t>
        </is>
      </c>
      <c r="S46" s="2" t="inlineStr">
        <is>
          <t>-</t>
        </is>
      </c>
      <c r="T46" s="2" t="inlineStr">
        <is>
          <t>22/07/2026 10:21:17</t>
        </is>
      </c>
    </row>
    <row r="47">
      <c r="A47" s="2" t="inlineStr">
        <is>
          <t>🟠</t>
        </is>
      </c>
      <c r="B47" s="3" t="str">
        <f>HYPERLINK("https://compensar-smartit.onbmc.com/smartit/app/#/incident/AGGGSWY0I24JCAT83NWJT83NWJPPBH","INC000000153000")</f>
        <v>INC000000153000</v>
      </c>
      <c r="C47" s="2" t="inlineStr">
        <is>
          <t>No</t>
        </is>
      </c>
      <c r="D47" s="2" t="inlineStr">
        <is>
          <t>Falla en Equipo</t>
        </is>
      </c>
      <c r="E47" s="2" t="inlineStr">
        <is>
          <t>Asignado</t>
        </is>
      </c>
      <c r="F47" s="2" t="inlineStr">
        <is>
          <t>Ubicación para atención del Servicio: CHIA PISO 3 CONSULTORIO 17
Número de contacto para la atención del servicio: 3115940430
Frente: SALUD
Falla: DAÑO FISICO
¿Cual es el dispositivo que presenta la falla?: [TECLADO, MOUSE, PANTALLA]
Nombre de equipo (inventario o placa): COMPUTADOR CONSULTORIO 16
Descripción del incidente o falla: Buen Día 
Solicito amblemente intervenir de caracter urgente el computador del consultorio 16 ya que no sirve al abrir el correo, teams,SAP, Excel ni barra de tareas, afectando el servicio ya que muchas veces el profesional se ha tenido que pasar de consultorio y esto impacta el proceso porque atrasa la consulta
Gracias
</t>
        </is>
      </c>
      <c r="G47" s="2" t="inlineStr">
        <is>
          <t>SERVICIOS DE TECNOLOGIA-SOPORTE EQUIPOS DE COMPUTO-FALLA</t>
        </is>
      </c>
      <c r="H47" s="2" t="inlineStr">
        <is>
          <t>Portal - Web</t>
        </is>
      </c>
      <c r="I47" s="2" t="inlineStr">
        <is>
          <t>Baja</t>
        </is>
      </c>
      <c r="J47" s="4">
        <v>46221.450104166666</v>
      </c>
      <c r="K47" s="2" t="inlineStr">
        <is>
          <t>MIGUEL JOSE NUÑEZ MARQUEZ</t>
        </is>
      </c>
      <c r="L47" s="2" t="inlineStr">
        <is>
          <t>SPT ZONA NORTE</t>
        </is>
      </c>
      <c r="M47" s="2" t="inlineStr">
        <is>
          <t>SERVICIOS DE TI</t>
        </is>
      </c>
      <c r="N47" s="2"/>
      <c r="O47" s="2" t="inlineStr">
        <is>
          <t>SALUD</t>
        </is>
      </c>
      <c r="P47" s="2"/>
      <c r="Q47" s="2" t="inlineStr">
        <is>
          <t>AGGGSWY0I24JCAT83NWJT83NWJPPBH</t>
        </is>
      </c>
      <c r="R47" s="2" t="inlineStr">
        <is>
          <t>a) 0-4</t>
        </is>
      </c>
      <c r="S47" s="2" t="inlineStr">
        <is>
          <t>-</t>
        </is>
      </c>
      <c r="T47" s="2" t="inlineStr">
        <is>
          <t>21/07/2026 08:48:09</t>
        </is>
      </c>
    </row>
    <row r="48">
      <c r="A48" s="2" t="inlineStr">
        <is>
          <t>🟢</t>
        </is>
      </c>
      <c r="B48" s="3" t="str">
        <f>HYPERLINK("https://compensar-smartit.onbmc.com/smartit/app/#/incident/IDGGSWY0I24JCAT85JXKT85JXKEUDU","INC000000153021")</f>
        <v>INC000000153021</v>
      </c>
      <c r="C48" s="2" t="inlineStr">
        <is>
          <t>No</t>
        </is>
      </c>
      <c r="D48" s="2" t="inlineStr">
        <is>
          <t>Falla PC sin RED</t>
        </is>
      </c>
      <c r="E48" s="2" t="inlineStr">
        <is>
          <t>Asignado</t>
        </is>
      </c>
      <c r="F48" s="2" t="inlineStr">
        <is>
          <t>Usuario: CC 1016106943 JOHAN ANDRES PINA PARRA.
Informa: Falla PC indica que se encuentra sin internet, solicita validación.
Ubicación: CPL piso 1 endocrinología.
Tiempo: 7:40 a. m. 19/07/2026.
Impacto: Placa: C174971.
Evidencias: Usuario indica que todo se encuentra correctamente conectado, indica que la asistencia rápida se queda cargando y arroja error de red.</t>
        </is>
      </c>
      <c r="G48" s="2" t="inlineStr">
        <is>
          <t>SERVICIOS DE TECNOLOGIA-SOPORTE EQUIPOS DE COMPUTO-FALLA</t>
        </is>
      </c>
      <c r="H48" s="2" t="inlineStr">
        <is>
          <t>Telefono</t>
        </is>
      </c>
      <c r="I48" s="2" t="inlineStr">
        <is>
          <t>Baja</t>
        </is>
      </c>
      <c r="J48" s="4">
        <v>46222.328935185185</v>
      </c>
      <c r="K48" s="2" t="inlineStr">
        <is>
          <t>JEISON ANDRES REYES ROMERO</t>
        </is>
      </c>
      <c r="L48" s="2" t="inlineStr">
        <is>
          <t>ZONA ORIENTE</t>
        </is>
      </c>
      <c r="M48" s="2" t="inlineStr">
        <is>
          <t>SERVICIOS DE TI</t>
        </is>
      </c>
      <c r="N48" s="2" t="inlineStr">
        <is>
          <t>INTERNET</t>
        </is>
      </c>
      <c r="O48" s="2" t="inlineStr">
        <is>
          <t>SALUD</t>
        </is>
      </c>
      <c r="P48" s="2"/>
      <c r="Q48" s="2" t="inlineStr">
        <is>
          <t>IDGGSWY0I24JCAT85JXKT85JXKEUDU</t>
        </is>
      </c>
      <c r="R48" s="2" t="inlineStr">
        <is>
          <t>a) 0-4</t>
        </is>
      </c>
      <c r="S48" s="2" t="inlineStr">
        <is>
          <t>-</t>
        </is>
      </c>
      <c r="T48" s="2" t="inlineStr">
        <is>
          <t>22/07/2026 12:00:00</t>
        </is>
      </c>
    </row>
    <row r="49">
      <c r="A49" s="2" t="inlineStr">
        <is>
          <t>🟢</t>
        </is>
      </c>
      <c r="B49" s="3" t="str">
        <f>HYPERLINK("https://compensar-smartit.onbmc.com/smartit/app/#/incident/IDGGSWY0I24JCAT856PZT856PZFZRI","INC000000153024")</f>
        <v>INC000000153024</v>
      </c>
      <c r="C49" s="2" t="inlineStr">
        <is>
          <t>No</t>
        </is>
      </c>
      <c r="D49" s="2" t="inlineStr">
        <is>
          <t>Falla Conexión Aplicaciones</t>
        </is>
      </c>
      <c r="E49" s="2" t="inlineStr">
        <is>
          <t>Pendiente</t>
        </is>
      </c>
      <c r="F49" s="2" t="inlineStr">
        <is>
          <t>Usuario: Diana Maria Correa Garay
Informa: No cargan las aplicaciones corporativas. 
Ubicación: Movilidad - Sala de ventas de vivienda
Tiempo: 10am
Impacto: 1Usuario
Evidencias: Adjunto
Activo: P024520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al correo. Solicito su ayuda para validar la falla presentada ya que según validaciones la falla continua, se adjuntan evidencias y se escala para validación.</t>
        </is>
      </c>
      <c r="G49" s="2" t="inlineStr">
        <is>
          <t>SERVICIOS DE TECNOLOGIA-SEGURIDAD INFORMATICA-FALLA O MENSAJE DE ERROR</t>
        </is>
      </c>
      <c r="H49" s="2" t="inlineStr">
        <is>
          <t>Telefono</t>
        </is>
      </c>
      <c r="I49" s="2" t="inlineStr">
        <is>
          <t>Baja</t>
        </is>
      </c>
      <c r="J49" s="4">
        <v>46222.427083333336</v>
      </c>
      <c r="K49" s="2" t="inlineStr">
        <is>
          <t>SANTIAGO PERDOMO ACERO</t>
        </is>
      </c>
      <c r="L49" s="2" t="inlineStr">
        <is>
          <t>ZONA CENTRO</t>
        </is>
      </c>
      <c r="M49" s="2" t="inlineStr">
        <is>
          <t>SERVICIOS DE TI</t>
        </is>
      </c>
      <c r="N49" s="2"/>
      <c r="O49" s="2" t="inlineStr">
        <is>
          <t>CLIENTES</t>
        </is>
      </c>
      <c r="P49" s="2"/>
      <c r="Q49" s="2" t="inlineStr">
        <is>
          <t>IDGGSWY0I24JCAT856PZT856PZFZRI</t>
        </is>
      </c>
      <c r="R49" s="2" t="inlineStr">
        <is>
          <t>a) 0-4</t>
        </is>
      </c>
      <c r="S49" s="2" t="inlineStr">
        <is>
          <t>-</t>
        </is>
      </c>
      <c r="T49" s="2" t="inlineStr">
        <is>
          <t>-</t>
        </is>
      </c>
    </row>
    <row r="50">
      <c r="A50" s="2" t="inlineStr">
        <is>
          <t>🟢</t>
        </is>
      </c>
      <c r="B50" s="3" t="str">
        <f>HYPERLINK("https://compensar-smartit.onbmc.com/smartit/app/#/incident/IDGGSWY0I24JCAT856QCT856QCFZSL","INC000000153025")</f>
        <v>INC000000153025</v>
      </c>
      <c r="C50" s="2" t="inlineStr">
        <is>
          <t>No</t>
        </is>
      </c>
      <c r="D50" s="2" t="inlineStr">
        <is>
          <t>Falla PC no cargan paginas</t>
        </is>
      </c>
      <c r="E50" s="2" t="inlineStr">
        <is>
          <t>Pendiente</t>
        </is>
      </c>
      <c r="F50" s="2" t="inlineStr">
        <is>
          <t>Usuario: CC 1014279617 KAREN LORENA PERICO ESPINEL.
Informa: Falla en portátil corporativo, no cargan paginas:
https://redcompensar.freshdesk.com/a/tickets/filters/search?orderBy=created_at&amp;orderType=desc&amp;q[]=created%3Fis_greater_than%3A%22last_30_days%22&amp;q[]=status%3Fis_in%3A%5B2%2C3%5D&amp;ref=all_tickets
https://sistemainscripcioncopacompensar2026.bienestarcompensar.com/sistema.php/reportes.
https://outlook.live.com/mail/?prompt=select_account
https://sistemarecursos.bienestarcompensar.com/
Ubicación: Movilidad VPN GLOBAL.
Tiempo: 9:42 a. m. 19/07/2026.
Impacto: P024611.
Evidencias: Eliminación de cookies y cache, actualización de navegador.</t>
        </is>
      </c>
      <c r="G50" s="2" t="inlineStr">
        <is>
          <t>SERVICIOS DE TECNOLOGIA-SEGURIDAD INFORMATICA-FALLA O MENSAJE DE ERROR</t>
        </is>
      </c>
      <c r="H50" s="2" t="inlineStr">
        <is>
          <t>Telefono</t>
        </is>
      </c>
      <c r="I50" s="2" t="inlineStr">
        <is>
          <t>Baja</t>
        </is>
      </c>
      <c r="J50" s="4">
        <v>46222.425833333335</v>
      </c>
      <c r="K50" s="2" t="inlineStr">
        <is>
          <t>GERLYN RENTERIA OROZCO</t>
        </is>
      </c>
      <c r="L50" s="2" t="inlineStr">
        <is>
          <t>ZONA CENTRO</t>
        </is>
      </c>
      <c r="M50" s="2" t="inlineStr">
        <is>
          <t>SERVICIOS DE TI</t>
        </is>
      </c>
      <c r="N50" s="2"/>
      <c r="O50" s="2" t="inlineStr">
        <is>
          <t>BIENESTAR Y DESARROLLO SOCIAL</t>
        </is>
      </c>
      <c r="P50" s="2"/>
      <c r="Q50" s="2" t="inlineStr">
        <is>
          <t>IDGGSWY0I24JCAT856QCT856QCFZSL</t>
        </is>
      </c>
      <c r="R50" s="2" t="inlineStr">
        <is>
          <t>a) 0-4</t>
        </is>
      </c>
      <c r="S50" s="2" t="inlineStr">
        <is>
          <t>-</t>
        </is>
      </c>
      <c r="T50" s="2" t="inlineStr">
        <is>
          <t>-</t>
        </is>
      </c>
    </row>
    <row r="51">
      <c r="A51" s="2" t="inlineStr">
        <is>
          <t>🟢</t>
        </is>
      </c>
      <c r="B51" s="3" t="str">
        <f>HYPERLINK("https://compensar-smartit.onbmc.com/smartit/app/#/incident/IDGGSWY0I24JCAT857BQT857BQGCYE","INC000000153027")</f>
        <v>INC000000153027</v>
      </c>
      <c r="C51" s="2" t="inlineStr">
        <is>
          <t>No</t>
        </is>
      </c>
      <c r="D51" s="2" t="inlineStr">
        <is>
          <t>Falla al generar impresión de facturas</t>
        </is>
      </c>
      <c r="E51" s="2" t="inlineStr">
        <is>
          <t>Asignado</t>
        </is>
      </c>
      <c r="F51" s="2" t="inlineStr">
        <is>
          <t>Usuario: Yirleyd Palacio Orjuela
Informa: Falla al generar impresión de facturas 
Ubicación: sede CEF en la 68
Tiempo: 10am
Impacto: 1Usuario
Evidencias: Adjunto</t>
        </is>
      </c>
      <c r="G51" s="2" t="inlineStr">
        <is>
          <t>SERVICIOS DE TECNOLOGIA-APLICACIONES DE NEGOCIO-FALLA</t>
        </is>
      </c>
      <c r="H51" s="2" t="inlineStr">
        <is>
          <t>Chat</t>
        </is>
      </c>
      <c r="I51" s="2" t="inlineStr">
        <is>
          <t>Baja</t>
        </is>
      </c>
      <c r="J51" s="4">
        <v>46222.434699074074</v>
      </c>
      <c r="K51" s="2" t="inlineStr">
        <is>
          <t>KEVIN ALEXIS GARCIA GUARACA</t>
        </is>
      </c>
      <c r="L51" s="2" t="inlineStr">
        <is>
          <t>ZONA CENTRO</t>
        </is>
      </c>
      <c r="M51" s="2" t="inlineStr">
        <is>
          <t>SERVICIOS DE TI</t>
        </is>
      </c>
      <c r="N51" s="2"/>
      <c r="O51" s="2" t="inlineStr">
        <is>
          <t>CLIENTES</t>
        </is>
      </c>
      <c r="P51" s="2"/>
      <c r="Q51" s="2" t="inlineStr">
        <is>
          <t>IDGGSWY0I24JCAT857BQT857BQGCYE</t>
        </is>
      </c>
      <c r="R51" s="2" t="inlineStr">
        <is>
          <t>a) 0-4</t>
        </is>
      </c>
      <c r="S51" s="2" t="inlineStr">
        <is>
          <t>-</t>
        </is>
      </c>
      <c r="T51" s="2" t="inlineStr">
        <is>
          <t>22/07/2026 12:00:00</t>
        </is>
      </c>
    </row>
    <row r="52">
      <c r="A52" s="2" t="inlineStr">
        <is>
          <t>🟢</t>
        </is>
      </c>
      <c r="B52" s="3" t="str">
        <f>HYPERLINK("https://compensar-smartit.onbmc.com/smartit/app/#/incident/IDGGSWY0I24JCAT85MFLT85MFLH1VU","INC000000153028")</f>
        <v>INC000000153028</v>
      </c>
      <c r="C52" s="2" t="inlineStr">
        <is>
          <t>No</t>
        </is>
      </c>
      <c r="D52" s="2" t="inlineStr">
        <is>
          <t>Falla Conexión Aplicaciones</t>
        </is>
      </c>
      <c r="E52" s="2" t="inlineStr">
        <is>
          <t>Pendiente</t>
        </is>
      </c>
      <c r="F52" s="2" t="inlineStr">
        <is>
          <t>Usuario: Alexander Moreno Hincapie
Informa: Falla Hércules - No carga la pagina, ni el ingreso a varias aplicaciones corporativas.
Ubicación: Sede Cur - Coordinación de natación
Tiempo: 12m
Impacto: 1Usuario
Evidencias: Adjunto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varios equipos y en diferentes navegadores pero la falla continúa.</t>
        </is>
      </c>
      <c r="G52" s="2" t="inlineStr">
        <is>
          <t>SERVICIOS DE TECNOLOGIA-SEGURIDAD INFORMATICA-FALLA O MENSAJE DE ERROR</t>
        </is>
      </c>
      <c r="H52" s="2" t="inlineStr">
        <is>
          <t>Telefono</t>
        </is>
      </c>
      <c r="I52" s="2" t="inlineStr">
        <is>
          <t>Baja</t>
        </is>
      </c>
      <c r="J52" s="4">
        <v>46222.517743055556</v>
      </c>
      <c r="K52" s="2" t="inlineStr">
        <is>
          <t>GERLYN RENTERIA OROZCO</t>
        </is>
      </c>
      <c r="L52" s="2" t="inlineStr">
        <is>
          <t>ZONA CENTRO</t>
        </is>
      </c>
      <c r="M52" s="2" t="inlineStr">
        <is>
          <t>SERVICIOS DE TI</t>
        </is>
      </c>
      <c r="N52" s="2"/>
      <c r="O52" s="2" t="inlineStr">
        <is>
          <t>CLIENTES</t>
        </is>
      </c>
      <c r="P52" s="2"/>
      <c r="Q52" s="2" t="inlineStr">
        <is>
          <t>IDGGSWY0I24JCAT85MFLT85MFLH1VU</t>
        </is>
      </c>
      <c r="R52" s="2" t="inlineStr">
        <is>
          <t>a) 0-4</t>
        </is>
      </c>
      <c r="S52" s="2" t="inlineStr">
        <is>
          <t>-</t>
        </is>
      </c>
      <c r="T52" s="2" t="inlineStr">
        <is>
          <t>-</t>
        </is>
      </c>
    </row>
    <row r="53">
      <c r="A53" s="2" t="inlineStr">
        <is>
          <t>🟢</t>
        </is>
      </c>
      <c r="B53" s="3" t="str">
        <f>HYPERLINK("https://compensar-smartit.onbmc.com/smartit/app/#/incident/AGGGSWY0I24JCAT85N3MT85N3MHLFO","INC000000153029")</f>
        <v>INC000000153029</v>
      </c>
      <c r="C53" s="2" t="inlineStr">
        <is>
          <t>No</t>
        </is>
      </c>
      <c r="D53" s="2" t="inlineStr">
        <is>
          <t>Falla en Equipo</t>
        </is>
      </c>
      <c r="E53" s="2" t="inlineStr">
        <is>
          <t>Asignado</t>
        </is>
      </c>
      <c r="F53" s="2" t="inlineStr">
        <is>
          <t>Ubicación para atención del Servicio: CUR PISO 1 VENTANILLAS PAI
Número de contacto para la atención del servicio: 3505396200
Frente: CENTRO DE SERVICIOS COMPARTIDOS
Falla: BLOQUEO
¿Cual es el dispositivo que presenta la falla?: [PORTATIL/PC]
Nombre de equipo (inventario o placa): C003521
Descripción del incidente o falla: Cordial Saludo 
Agradezco validar novedad que se está presentando en equipo ya que reporta que espacio en disco insuficiente. Adjunto pantallazo
Adjunto: [AGGGSWY0I24JCAT85N32T85N32HLAS]
</t>
        </is>
      </c>
      <c r="G53" s="2" t="inlineStr">
        <is>
          <t>SERVICIOS DE TECNOLOGIA-SOPORTE EQUIPOS DE COMPUTO-FALLA</t>
        </is>
      </c>
      <c r="H53" s="2" t="inlineStr">
        <is>
          <t>Portal - Web</t>
        </is>
      </c>
      <c r="I53" s="2" t="inlineStr">
        <is>
          <t>Baja</t>
        </is>
      </c>
      <c r="J53" s="4">
        <v>46222.52233796296</v>
      </c>
      <c r="K53" s="2" t="inlineStr">
        <is>
          <t>GERLYN RENTERIA OROZCO</t>
        </is>
      </c>
      <c r="L53" s="2" t="inlineStr">
        <is>
          <t>ZONA CENTRO</t>
        </is>
      </c>
      <c r="M53" s="2" t="inlineStr">
        <is>
          <t>SERVICIOS DE TI</t>
        </is>
      </c>
      <c r="N53" s="2"/>
      <c r="O53" s="2" t="inlineStr">
        <is>
          <t>CENTRO DE SERVICIOS COMPARTIDOS</t>
        </is>
      </c>
      <c r="P53" s="2"/>
      <c r="Q53" s="2" t="inlineStr">
        <is>
          <t>AGGGSWY0I24JCAT85N3MT85N3MHLFO</t>
        </is>
      </c>
      <c r="R53" s="2" t="inlineStr">
        <is>
          <t>a) 0-4</t>
        </is>
      </c>
      <c r="S53" s="2" t="inlineStr">
        <is>
          <t>-</t>
        </is>
      </c>
      <c r="T53" s="2" t="inlineStr">
        <is>
          <t>22/07/2026 12:00:00</t>
        </is>
      </c>
    </row>
    <row r="54">
      <c r="A54" s="2" t="inlineStr">
        <is>
          <t>🟢</t>
        </is>
      </c>
      <c r="B54" s="3" t="str">
        <f>HYPERLINK("https://compensar-smartit.onbmc.com/smartit/app/#/incident/IDGGSWY0I24JCAT87GU8T87GU892EQ","INC000000153038")</f>
        <v>INC000000153038</v>
      </c>
      <c r="C54" s="2" t="inlineStr">
        <is>
          <t>No</t>
        </is>
      </c>
      <c r="D54" s="2" t="inlineStr">
        <is>
          <t>Falla Equipo - Lentitud</t>
        </is>
      </c>
      <c r="E54" s="2" t="inlineStr">
        <is>
          <t>Asignado</t>
        </is>
      </c>
      <c r="F54" s="2" t="inlineStr">
        <is>
          <t>Usuario: Kevin Urbina
Informa: El equipo esta lento, se tarda en abrir las aplcaciones, se toma el equipo remoto, se valida que el disco esta lleno, se intenta eliminar usuarios por peticion del usuario pero no permite digitar las credenciales de administrador. 
ACTIVO: C003589
📍 Ubicación: Calle 220 PUESTO PRIMEROS AUXILIOS
Tiempo: 8:30 
Impacto: 1
Evidencias: Lento-1.PNG</t>
        </is>
      </c>
      <c r="G54" s="2" t="inlineStr">
        <is>
          <t>SERVICIOS DE TECNOLOGIA-SOPORTE EQUIPOS DE COMPUTO-LENTITUD</t>
        </is>
      </c>
      <c r="H54" s="2" t="inlineStr">
        <is>
          <t>Telefono</t>
        </is>
      </c>
      <c r="I54" s="2" t="inlineStr">
        <is>
          <t>Baja</t>
        </is>
      </c>
      <c r="J54" s="4">
        <v>46223.36199074074</v>
      </c>
      <c r="K54" s="2" t="inlineStr">
        <is>
          <t>EDWIN ALEXIS PATIÑO TEJEDOR</t>
        </is>
      </c>
      <c r="L54" s="2" t="inlineStr">
        <is>
          <t>ZONA NORTE</t>
        </is>
      </c>
      <c r="M54" s="2" t="inlineStr">
        <is>
          <t>SERVICIOS DE TI</t>
        </is>
      </c>
      <c r="N54" s="2" t="inlineStr">
        <is>
          <t>C003589</t>
        </is>
      </c>
      <c r="O54" s="2" t="inlineStr">
        <is>
          <t>CLIENTES</t>
        </is>
      </c>
      <c r="P54" s="2"/>
      <c r="Q54" s="2" t="inlineStr">
        <is>
          <t>IDGGSWY0I24JCAT87GU8T87GU892EQ</t>
        </is>
      </c>
      <c r="R54" s="2" t="inlineStr">
        <is>
          <t>a) 0-4</t>
        </is>
      </c>
      <c r="S54" s="2" t="inlineStr">
        <is>
          <t>-</t>
        </is>
      </c>
      <c r="T54" s="2" t="inlineStr">
        <is>
          <t>22/07/2026 12:00:00</t>
        </is>
      </c>
    </row>
    <row r="55">
      <c r="A55" s="2" t="inlineStr">
        <is>
          <t>🟢</t>
        </is>
      </c>
      <c r="B55" s="3" t="str">
        <f>HYPERLINK("https://compensar-smartit.onbmc.com/smartit/app/#/incident/IDGIBMZTENYZ6AT83QY5T83QY5UUJM","INC000000153101")</f>
        <v>INC000000153101</v>
      </c>
      <c r="C55" s="2" t="inlineStr">
        <is>
          <t>No</t>
        </is>
      </c>
      <c r="D55" s="2" t="inlineStr">
        <is>
          <t>Falla novedad con impresora</t>
        </is>
      </c>
      <c r="E55" s="2" t="inlineStr">
        <is>
          <t>Asignado</t>
        </is>
      </c>
      <c r="F55" s="2" t="inlineStr">
        <is>
          <t>Usuari@:Flor Angela Moreno Laguna
Informa: El usuario se comunica indicando que presenta falla novedad con la impresora marca zebra , la impresora suena con un pitido y no funciona 
Tiempo:11:54 a. m. 18/07/2026
Ubicación:Sede cra 60 piso 1 torre a ventanilla 
Impacto: Usuarios afectados:1</t>
        </is>
      </c>
      <c r="G55" s="2" t="inlineStr">
        <is>
          <t>SERVICIOS DE TECNOLOGIA-APLICACIONES DE NEGOCIO-FALLA</t>
        </is>
      </c>
      <c r="H55" s="2" t="inlineStr">
        <is>
          <t>Telefono</t>
        </is>
      </c>
      <c r="I55" s="2" t="inlineStr">
        <is>
          <t>Baja</t>
        </is>
      </c>
      <c r="J55" s="4">
        <v>46221.497083333335</v>
      </c>
      <c r="K55" s="2" t="inlineStr">
        <is>
          <t>SANTIAGO PERDOMO ACERO</t>
        </is>
      </c>
      <c r="L55" s="2" t="inlineStr">
        <is>
          <t>ZONA CENTRO</t>
        </is>
      </c>
      <c r="M55" s="2" t="inlineStr">
        <is>
          <t>SERVICIOS DE TI</t>
        </is>
      </c>
      <c r="N55" s="2" t="inlineStr">
        <is>
          <t>IMPRESION</t>
        </is>
      </c>
      <c r="O55" s="2" t="inlineStr">
        <is>
          <t>BIENESTAR Y DESARROLLO SOCIAL</t>
        </is>
      </c>
      <c r="P55" s="2"/>
      <c r="Q55" s="2" t="inlineStr">
        <is>
          <t>IDGIBMZTENYZ6AT83QY5T83QY5UUJM</t>
        </is>
      </c>
      <c r="R55" s="2" t="inlineStr">
        <is>
          <t>a) 0-4</t>
        </is>
      </c>
      <c r="S55" s="2" t="inlineStr">
        <is>
          <t>-</t>
        </is>
      </c>
      <c r="T55" s="2" t="inlineStr">
        <is>
          <t>22/07/2026 11:55:48</t>
        </is>
      </c>
    </row>
    <row r="56">
      <c r="A56" s="2" t="inlineStr">
        <is>
          <t>🟢</t>
        </is>
      </c>
      <c r="B56" s="3" t="str">
        <f>HYPERLINK("https://compensar-smartit.onbmc.com/smartit/app/#/incident/IDGIBMZTENYZ6AT83R72T83R72VA3F","INC000000153102")</f>
        <v>INC000000153102</v>
      </c>
      <c r="C56" s="2" t="inlineStr">
        <is>
          <t>No</t>
        </is>
      </c>
      <c r="D56" s="2" t="inlineStr">
        <is>
          <t>Falla novedad al ingresar al equipo</t>
        </is>
      </c>
      <c r="E56" s="2" t="inlineStr">
        <is>
          <t>Asignado</t>
        </is>
      </c>
      <c r="F56" s="2" t="inlineStr">
        <is>
          <t>Usuari@ :Yeny Paola Rodriguez Delgado
Informa:El usuario   se comunica usuario indica que presenta falla novedad al tratar de ingresar al equipo 
Ubicación:CUR PISO 1 VENTANILLAS PAI
Impacto:  Usuarios afectados +2</t>
        </is>
      </c>
      <c r="G56" s="2" t="inlineStr">
        <is>
          <t>SERVICIOS DE TECNOLOGIA-APLICACIONES DE NEGOCIO-FALLA</t>
        </is>
      </c>
      <c r="H56" s="2" t="inlineStr">
        <is>
          <t>Chat</t>
        </is>
      </c>
      <c r="I56" s="2" t="inlineStr">
        <is>
          <t>Baja</t>
        </is>
      </c>
      <c r="J56" s="4">
        <v>46221.50546296296</v>
      </c>
      <c r="K56" s="2" t="inlineStr">
        <is>
          <t>DANIEL ALEJANDRO BORDA MESTIZO</t>
        </is>
      </c>
      <c r="L56" s="2" t="inlineStr">
        <is>
          <t>SPT ZONA CENTRO</t>
        </is>
      </c>
      <c r="M56" s="2" t="inlineStr">
        <is>
          <t>SERVICIOS DE TI</t>
        </is>
      </c>
      <c r="N56" s="2" t="inlineStr">
        <is>
          <t>DIRECTORIO ACTIVO</t>
        </is>
      </c>
      <c r="O56" s="2" t="inlineStr">
        <is>
          <t>BIENESTAR Y DESARROLLO SOCIAL</t>
        </is>
      </c>
      <c r="P56" s="2"/>
      <c r="Q56" s="2" t="inlineStr">
        <is>
          <t>IDGIBMZTENYZ6AT83R72T83R72VA3F</t>
        </is>
      </c>
      <c r="R56" s="2" t="inlineStr">
        <is>
          <t>a) 0-4</t>
        </is>
      </c>
      <c r="S56" s="2" t="inlineStr">
        <is>
          <t>-</t>
        </is>
      </c>
      <c r="T56" s="2" t="inlineStr">
        <is>
          <t>21/07/2026 10:07:52</t>
        </is>
      </c>
    </row>
    <row r="57">
      <c r="A57" s="2" t="inlineStr">
        <is>
          <t>🟢</t>
        </is>
      </c>
      <c r="B57" s="3" t="str">
        <f>HYPERLINK("https://compensar-smartit.onbmc.com/smartit/app/#/incident/IDGIBMZTENYZ6AT855NMT855NMGTQF","INC000000153110")</f>
        <v>INC000000153110</v>
      </c>
      <c r="C57" s="2" t="inlineStr">
        <is>
          <t>No</t>
        </is>
      </c>
      <c r="D57" s="2" t="inlineStr">
        <is>
          <t>Falla Conexión Aplicaciones</t>
        </is>
      </c>
      <c r="E57" s="2" t="inlineStr">
        <is>
          <t>Asignado</t>
        </is>
      </c>
      <c r="F57" s="2" t="inlineStr">
        <is>
          <t>Usuario: Arnold Alfonso Vallejo Jaime
Informa: Falla Conexión Aplicaciones 
Ubicación: Movilidad
Tiempo: 9am
Impacto: 1Usuario
Evidencias: Adjunto
Activo: C024915
Se toma equipo remoto, se valida la falla indicada por el usuario,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 los flujos desde Power Automate, ni Shareponit.  Solicito su ayuda para validar la falla presentada ya que según validaciones la falla continua, se adjuntan evidencias y se escala para validación.</t>
        </is>
      </c>
      <c r="G57" s="2" t="inlineStr">
        <is>
          <t>SERVICIOS DE TECNOLOGIA-SEGURIDAD INFORMATICA-FALLA O MENSAJE DE ERROR</t>
        </is>
      </c>
      <c r="H57" s="2" t="inlineStr">
        <is>
          <t>Telefono</t>
        </is>
      </c>
      <c r="I57" s="2" t="inlineStr">
        <is>
          <t>Baja</t>
        </is>
      </c>
      <c r="J57" s="4">
        <v>46222.40851851852</v>
      </c>
      <c r="K57" s="2" t="inlineStr">
        <is>
          <t>SANTIAGO PERDOMO ACERO</t>
        </is>
      </c>
      <c r="L57" s="2" t="inlineStr">
        <is>
          <t>ZONA CENTRO</t>
        </is>
      </c>
      <c r="M57" s="2" t="inlineStr">
        <is>
          <t>SERVICIOS DE TI</t>
        </is>
      </c>
      <c r="N57" s="2"/>
      <c r="O57" s="2" t="inlineStr">
        <is>
          <t>CLIENTES</t>
        </is>
      </c>
      <c r="P57" s="2"/>
      <c r="Q57" s="2" t="inlineStr">
        <is>
          <t>IDGIBMZTENYZ6AT855NMT855NMGTQF</t>
        </is>
      </c>
      <c r="R57" s="2" t="inlineStr">
        <is>
          <t>a) 0-4</t>
        </is>
      </c>
      <c r="S57" s="2" t="inlineStr">
        <is>
          <t>-</t>
        </is>
      </c>
      <c r="T57" s="2" t="inlineStr">
        <is>
          <t>22/07/2026 12:00:00</t>
        </is>
      </c>
    </row>
    <row r="58">
      <c r="A58" s="2" t="inlineStr">
        <is>
          <t>🟢</t>
        </is>
      </c>
      <c r="B58" s="3" t="str">
        <f>HYPERLINK("https://compensar-smartit.onbmc.com/smartit/app/#/incident/IDGIBMZTENYZ6AT85LRNT85LRNICID","INC000000153114")</f>
        <v>INC000000153114</v>
      </c>
      <c r="C58" s="2" t="inlineStr">
        <is>
          <t>No</t>
        </is>
      </c>
      <c r="D58" s="2" t="inlineStr">
        <is>
          <t>Falla Conexión Aplicaciones</t>
        </is>
      </c>
      <c r="E58" s="2" t="inlineStr">
        <is>
          <t>Pendiente</t>
        </is>
      </c>
      <c r="F58" s="2" t="inlineStr">
        <is>
          <t>Usuaria: Leidy Johana Matoma
Informa: Falla Conexión Aplicaciones
Ubicación: Movilidad
Tiempo: 11am
Impacto: 1Usuario
Evidencias: Adjunto
Activo: P013065
Se toma equipo remoto, se valida la falla indicada por la usuaria, Se procede a realizar soporte, se borra temporales, cookies y datos de navegación, se valida la configuración de la red con el equipo, se realiza de nuevo la configuración y conexión con el Globalt, se hacen pruebas desde diferentes navegadores, pero no cargan las aplicaciones, aparentemente está conectado a Globalt pero no genera conexión al ingresar a las paginas corporativas, ni a los flujos desde Power Automate, ni Shareponit. Solicito su ayuda para validar la falla presentada ya que según validaciones la falla continua, se adjuntan evidencias y se escala para validación.</t>
        </is>
      </c>
      <c r="G58" s="2" t="inlineStr">
        <is>
          <t>SERVICIOS DE TECNOLOGIA-SEGURIDAD INFORMATICA-FALLA O MENSAJE DE ERROR</t>
        </is>
      </c>
      <c r="H58" s="2" t="inlineStr">
        <is>
          <t>Telefono</t>
        </is>
      </c>
      <c r="I58" s="2" t="inlineStr">
        <is>
          <t>Baja</t>
        </is>
      </c>
      <c r="J58" s="4">
        <v>46222.5075462963</v>
      </c>
      <c r="K58" s="2" t="inlineStr">
        <is>
          <t>SANTIAGO PERDOMO ACERO</t>
        </is>
      </c>
      <c r="L58" s="2" t="inlineStr">
        <is>
          <t>ZONA CENTRO</t>
        </is>
      </c>
      <c r="M58" s="2" t="inlineStr">
        <is>
          <t>SERVICIOS DE TI</t>
        </is>
      </c>
      <c r="N58" s="2"/>
      <c r="O58" s="2" t="inlineStr">
        <is>
          <t>CLIENTES</t>
        </is>
      </c>
      <c r="P58" s="2"/>
      <c r="Q58" s="2" t="inlineStr">
        <is>
          <t>IDGIBMZTENYZ6AT85LRNT85LRNICID</t>
        </is>
      </c>
      <c r="R58" s="2" t="inlineStr">
        <is>
          <t>a) 0-4</t>
        </is>
      </c>
      <c r="S58" s="2" t="inlineStr">
        <is>
          <t>-</t>
        </is>
      </c>
      <c r="T58" s="2" t="inlineStr">
        <is>
          <t>-</t>
        </is>
      </c>
    </row>
    <row r="59">
      <c r="A59" s="2" t="inlineStr">
        <is>
          <t>🟢</t>
        </is>
      </c>
      <c r="B59" s="3" t="str">
        <f>HYPERLINK("https://compensar-smartit.onbmc.com/smartit/app/#/incident/IDGIBMZTENYZ6AT85SMYT85SMYJFO8","INC000000153120")</f>
        <v>INC000000153120</v>
      </c>
      <c r="C59" s="2" t="inlineStr">
        <is>
          <t>No</t>
        </is>
      </c>
      <c r="D59" s="2" t="inlineStr">
        <is>
          <t>Falla Excel - Archivo Dañado</t>
        </is>
      </c>
      <c r="E59" s="2" t="inlineStr">
        <is>
          <t>Asignado</t>
        </is>
      </c>
      <c r="F59" s="2" t="inlineStr">
        <is>
          <t>Usuario: Tatiana Parrado
Informa: Tiene un archivo de excel que esta guardado en la nube y lo ha tenido que copiar varias veces por que se daña, manifiesta que es el único archivo que se cada semana, se valida que el archivo se comparte para mas de 60 personas pero solo lo modifican 12, el archivo no es pesado, solo tiene la función del condicional pero la falla persiste. 
📍 Ubicación: CUR ADMINISTRACION
ACTIVO: C003574
Tiempo: 14:22
Impacto: 1</t>
        </is>
      </c>
      <c r="G59" s="2" t="inlineStr">
        <is>
          <t>SERVICIOS DE TECNOLOGIA-APLICACIONES DE NEGOCIO-ERROR FUNCIONALIDAD APLICACION</t>
        </is>
      </c>
      <c r="H59" s="2" t="inlineStr">
        <is>
          <t>Telefono</t>
        </is>
      </c>
      <c r="I59" s="2" t="inlineStr">
        <is>
          <t>Baja</t>
        </is>
      </c>
      <c r="J59" s="4">
        <v>46222.604155092595</v>
      </c>
      <c r="K59" s="2" t="inlineStr">
        <is>
          <t>GERLYN RENTERIA OROZCO</t>
        </is>
      </c>
      <c r="L59" s="2" t="inlineStr">
        <is>
          <t>ZONA CENTRO</t>
        </is>
      </c>
      <c r="M59" s="2" t="inlineStr">
        <is>
          <t>SERVICIOS DE TI</t>
        </is>
      </c>
      <c r="N59" s="2" t="inlineStr">
        <is>
          <t>OFFICE 365</t>
        </is>
      </c>
      <c r="O59" s="2" t="inlineStr">
        <is>
          <t>CLIENTES</t>
        </is>
      </c>
      <c r="P59" s="2"/>
      <c r="Q59" s="2" t="inlineStr">
        <is>
          <t>IDGIBMZTENYZ6AT85SMYT85SMYJFO8</t>
        </is>
      </c>
      <c r="R59" s="2" t="inlineStr">
        <is>
          <t>a) 0-4</t>
        </is>
      </c>
      <c r="S59" s="2" t="inlineStr">
        <is>
          <t>-</t>
        </is>
      </c>
      <c r="T59" s="2" t="inlineStr">
        <is>
          <t>22/07/2026 12:00:00</t>
        </is>
      </c>
    </row>
    <row r="60">
      <c r="A60" s="2" t="inlineStr">
        <is>
          <t>🟢</t>
        </is>
      </c>
      <c r="B60" s="3" t="str">
        <f>HYPERLINK("https://compensar-smartit.onbmc.com/smartit/app/#/incident/IDGIBMZTENYZ6AT87RHDT87RHDKY1O","INC000000153128")</f>
        <v>INC000000153128</v>
      </c>
      <c r="C60" s="2" t="inlineStr">
        <is>
          <t>No</t>
        </is>
      </c>
      <c r="D60" s="2" t="inlineStr">
        <is>
          <t>VALIDACION DE CONFIGURACIÓN DE IMPRESORA</t>
        </is>
      </c>
      <c r="E60" s="2" t="inlineStr">
        <is>
          <t>Asignado</t>
        </is>
      </c>
      <c r="F60" s="2" t="inlineStr">
        <is>
          <t>Usuario: Cesar Eduardo Ospina Veloza
Informa: Usuario reporta que en (4) cuatro equipos cuando envían documentos a impresión, la impresora confirma autenticación del usuario, pero no sale la impresión.
Teléfono: 3214419657
Ubicación: CUR PISO 0 ALMACEN DE LOGISTICA
Tiempo: 15:41 20/07/2026
Impacto: IMPRESORA RICOH 3353PB51613
Evidencias: No aplica</t>
        </is>
      </c>
      <c r="G60" s="2" t="inlineStr">
        <is>
          <t>SERVICIOS DE TECNOLOGIA-SERVICIOS DE IMPRESION/ESCANER-ERROR EN CONFIGURACION</t>
        </is>
      </c>
      <c r="H60" s="2" t="inlineStr">
        <is>
          <t>Telefono</t>
        </is>
      </c>
      <c r="I60" s="2" t="inlineStr">
        <is>
          <t>Baja</t>
        </is>
      </c>
      <c r="J60" s="4">
        <v>46223.66074074074</v>
      </c>
      <c r="K60" s="2" t="inlineStr">
        <is>
          <t>GERLYN RENTERIA OROZCO</t>
        </is>
      </c>
      <c r="L60" s="2" t="inlineStr">
        <is>
          <t>ZONA CENTRO</t>
        </is>
      </c>
      <c r="M60" s="2" t="inlineStr">
        <is>
          <t>SERVICIOS DE TI</t>
        </is>
      </c>
      <c r="N60" s="2" t="inlineStr">
        <is>
          <t>SERVICIOS DE IMPRESIÓN</t>
        </is>
      </c>
      <c r="O60" s="2" t="inlineStr">
        <is>
          <t>BIENESTAR Y DESARROLLO SOCIAL</t>
        </is>
      </c>
      <c r="P60" s="2"/>
      <c r="Q60" s="2" t="inlineStr">
        <is>
          <t>IDGIBMZTENYZ6AT87RHDT87RHDKY1O</t>
        </is>
      </c>
      <c r="R60" s="2" t="inlineStr">
        <is>
          <t>a) 0-4</t>
        </is>
      </c>
      <c r="S60" s="2" t="inlineStr">
        <is>
          <t>-</t>
        </is>
      </c>
      <c r="T60" s="2" t="inlineStr">
        <is>
          <t>22/07/2026 12:00:00</t>
        </is>
      </c>
    </row>
  </sheetData>
</worksheet>
</file>

<file path=xl/worksheets/sheet1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2.271999999999998" customWidth="1"/>
    <col min="2" max="2" width="41.064" customWidth="1"/>
    <col min="3" max="3" width="29.5" customWidth="1"/>
    <col min="4" max="4" width="180.54" customWidth="1"/>
    <col min="7" max="7" width="37.052" customWidth="1"/>
    <col min="9" max="9" width="23.836" customWidth="1"/>
    <col min="10" max="10" width="44.367999999999995" customWidth="1"/>
  </cols>
  <sheetData>
    <row r="1">
      <c r="A1" s="1" t="inlineStr">
        <is>
          <t>🚦</t>
        </is>
      </c>
      <c r="B1" s="1" t="inlineStr">
        <is>
          <t>No Caso</t>
        </is>
      </c>
      <c r="C1" s="1" t="inlineStr">
        <is>
          <t>SLA Vencido</t>
        </is>
      </c>
      <c r="D1" s="1" t="inlineStr">
        <is>
          <t>Resumen</t>
        </is>
      </c>
      <c r="E1" s="1" t="inlineStr">
        <is>
          <t>Estado</t>
        </is>
      </c>
      <c r="F1" s="1" t="inlineStr">
        <is>
          <t>Descripcion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Organizacion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Organization</t>
        </is>
      </c>
      <c r="U1" s="1" t="inlineStr">
        <is>
          <t>Fecha Incumplimiento</t>
        </is>
      </c>
      <c r="V1" s="1" t="inlineStr">
        <is>
          <t>Tiempo incumplimiento previsto</t>
        </is>
      </c>
    </row>
    <row r="2">
      <c r="A2" s="2" t="inlineStr">
        <is>
          <t>🟢</t>
        </is>
      </c>
      <c r="B2" s="3" t="str">
        <f>HYPERLINK("https://compensar-smartit.onbmc.com/smartit/app/#/workorder/AGGH043EBA7IUAT7RK28T7RK2844Z7","WO0000000304422")</f>
        <v>WO0000000304422</v>
      </c>
      <c r="C2" s="2" t="inlineStr">
        <is>
          <t>No</t>
        </is>
      </c>
      <c r="D2" s="2" t="inlineStr">
        <is>
          <t>formateo equipo fisico C006489 falla de sistema</t>
        </is>
      </c>
      <c r="E2" s="2" t="inlineStr">
        <is>
          <t>Pendiente</t>
        </is>
      </c>
      <c r="F2" s="2" t="inlineStr">
        <is>
          <t>Ubicación para atención del Servicio: TELETRABAJO ESCRITORIO VIRTUAL
Número de contacto para la atención del servicio: 3174652029
Frente: SALUD
Titulo: formateo equipo fisico C006489 falla de sistema
Descripción: Buen día,
Se requiere el formateo del equipo C006489, ubicado en la dirección Calle 38d Sur N.° 72N-70, Int. 1, asignado a la colaboradora Paola Andrea Arias Garzón.
El equipo cuenta con Windows 10 y presenta una falla de sincronización con Intune, evidenciándose que no replica correctamente con la plataforma. Como consecuencia, se generan múltiples inconvenientes en el funcionamiento de las aplicaciones, entre ellos:
Windows App no funciona correctamente en el perfil 7.
Los aplicativos instalados localmente en el equipo, como Microsoft Teams, Microsoft Office y los navegadores, no abren o presentan fallas en su funcionamiento.
Solicitamos amablemente su apoyo para realizar el formateo del equipo y gestionar la novedad reportada, con el fin de restablecer el correcto funcionamiento del sistema y de las aplicaciones.</t>
        </is>
      </c>
      <c r="G2" s="2" t="inlineStr">
        <is>
          <t>SERVICIOS DE TECNOLOGIA-GESTION DE APLICACIONES-INSTALAR DESINSTALAR APLICACION</t>
        </is>
      </c>
      <c r="H2" s="2" t="inlineStr">
        <is>
          <t>Web</t>
        </is>
      </c>
      <c r="I2" s="2" t="inlineStr">
        <is>
          <t>Baja</t>
        </is>
      </c>
      <c r="J2" s="5">
        <v>46209.51666666667</v>
      </c>
      <c r="K2" s="2" t="inlineStr">
        <is>
          <t>NICK STEVE TRIANA LOPEZ</t>
        </is>
      </c>
      <c r="L2" s="2" t="inlineStr">
        <is>
          <t>ZONA OCCIDENTE</t>
        </is>
      </c>
      <c r="M2" s="2" t="inlineStr">
        <is>
          <t>SERVICIOS DE TI</t>
        </is>
      </c>
      <c r="N2" s="2" t="inlineStr">
        <is>
          <t>C006489</t>
        </is>
      </c>
      <c r="O2" s="2" t="inlineStr">
        <is>
          <t>SALUD</t>
        </is>
      </c>
      <c r="P2" s="2" t="inlineStr">
        <is>
          <t>SOLUCION DEFINITIVA</t>
        </is>
      </c>
      <c r="Q2" s="2" t="inlineStr">
        <is>
          <t>AGGH043EBA7IUAT7RK28T7RK2844Z7</t>
        </is>
      </c>
      <c r="R2" s="2" t="inlineStr">
        <is>
          <t>c) 11-30</t>
        </is>
      </c>
      <c r="S2" s="4">
        <v>46224.75</v>
      </c>
      <c r="T2" s="2" t="inlineStr">
        <is>
          <t>SALUD</t>
        </is>
      </c>
      <c r="U2" s="2" t="inlineStr">
        <is>
          <t>-</t>
        </is>
      </c>
      <c r="V2" s="2" t="inlineStr">
        <is>
          <t>16/07/2026 12:55</t>
        </is>
      </c>
    </row>
    <row r="3">
      <c r="A3" s="2" t="inlineStr">
        <is>
          <t>🟢</t>
        </is>
      </c>
      <c r="B3" s="3" t="str">
        <f>HYPERLINK("https://compensar-smartit.onbmc.com/smartit/app/#/workorder/AGGJXOI0JAAPCAT8JYYZT8JYYZ6BOK","WO0000000304756")</f>
        <v>WO0000000304756</v>
      </c>
      <c r="C3" s="2" t="inlineStr">
        <is>
          <t>No</t>
        </is>
      </c>
      <c r="D3" s="2" t="inlineStr">
        <is>
          <t>Seguridad Informática - Servicios VPN Salud</t>
        </is>
      </c>
      <c r="E3" s="2" t="inlineStr">
        <is>
          <t>Pendiente</t>
        </is>
      </c>
      <c r="F3" s="2" t="inlineStr">
        <is>
          <t>Ubicación para atención del Servicio:CRA 69 B TORRE B PISO 4 GERENCIA PLANEACION DEL NEGOCIO
Teléfono:3044671791
Frente:BIENESTAR Y DESARROLLO SOCIAL
Título:PERMISOS  PVN  REMOTO
Tipo de Servicio:PERMISOS VPN REMOTA
Descripción:Buenos  dias, solicitamos no colaboren con los permisos en VPN REMOTO, Para  los colaboradores,Sandra Milena Rodriguez con cc52.533.353 y Santiago Andres Cely. con cc1019763145, quienes  ingresaron al proceso de analitica, y estaran  ubicados   en el piso 4,  para lo cual se adjunta visto  bueno del lider del proceso, muchas gracias,
Adjunto:[AGGH043EBA7IUAT7802ZT7802Z3A2C]
Categoria Operacional 1:SERVICIOS DE TECNOLOGIA
Categoria Operacional 2:SEGURIDAD INFORMATICA
Organizacion del grupo:OPERACIONES E INFRAESTRUCTURA
Grupo:PLATAFORMA TI SALUD
</t>
        </is>
      </c>
      <c r="G3" s="2" t="inlineStr">
        <is>
          <t>SERVICIOS DE TECNOLOGIA-ACOMPANAMIENTO-EJECUCION DE ACTIVIDADES EN SITIO</t>
        </is>
      </c>
      <c r="H3" s="2" t="inlineStr">
        <is>
          <t>Web</t>
        </is>
      </c>
      <c r="I3" s="2" t="inlineStr">
        <is>
          <t>Baja</t>
        </is>
      </c>
      <c r="J3" s="5">
        <v>46219.455555555556</v>
      </c>
      <c r="K3" s="2" t="inlineStr">
        <is>
          <t>JUAN CAMILO RINCON BLANCO</t>
        </is>
      </c>
      <c r="L3" s="2" t="inlineStr">
        <is>
          <t>SPT CABECERA CARRERA 69</t>
        </is>
      </c>
      <c r="M3" s="2" t="inlineStr">
        <is>
          <t>SERVICIOS DE TI</t>
        </is>
      </c>
      <c r="N3" s="2"/>
      <c r="O3" s="2" t="inlineStr">
        <is>
          <t>BIENESTAR Y DESARROLLO SOCIAL</t>
        </is>
      </c>
      <c r="P3" s="2"/>
      <c r="Q3" s="2" t="inlineStr">
        <is>
          <t>AGGJXOI0JAAPCAT8JYYZT8JYYZ6BOK</t>
        </is>
      </c>
      <c r="R3" s="2" t="inlineStr">
        <is>
          <t>a) 0-4</t>
        </is>
      </c>
      <c r="S3" s="4">
        <v>46224.75</v>
      </c>
      <c r="T3" s="2" t="inlineStr">
        <is>
          <t>SALUD</t>
        </is>
      </c>
      <c r="U3" s="2" t="inlineStr">
        <is>
          <t>-</t>
        </is>
      </c>
      <c r="V3" s="2" t="inlineStr">
        <is>
          <t>-</t>
        </is>
      </c>
    </row>
    <row r="4">
      <c r="A4" s="2" t="inlineStr">
        <is>
          <t>🟢</t>
        </is>
      </c>
      <c r="B4" s="3" t="str">
        <f>HYPERLINK("https://compensar-smartit.onbmc.com/smartit/app/#/workorder/AGGJXOI0JAAPCAT80DP8T80DP8668U","WO0000000304757")</f>
        <v>WO0000000304757</v>
      </c>
      <c r="C4" s="2" t="inlineStr">
        <is>
          <t>No</t>
        </is>
      </c>
      <c r="D4" s="2" t="inlineStr">
        <is>
          <t>ANALISIS DE ACTIVOS PARA TRABAJO EN EXTERIOR</t>
        </is>
      </c>
      <c r="E4" s="2" t="inlineStr">
        <is>
          <t>Pendiente</t>
        </is>
      </c>
      <c r="F4" s="2" t="inlineStr">
        <is>
          <t>Extensión: 3052304480
Ubicación: MOVILIDAD
Frente: SALUD
Indique el número del activo corporativo que utilizará en el exterior: Computador personal
Indique la cantidad de días que estará en el exterior: 9 días habiles
Fecha Inicio: 2026-08-03T07:32:00-05:00[America/Bogota]
Fecha Regreso: 2026-07-14T07:33:00-05:00[America/Bogota]
Indique el (los) país(es) de destino: Brasil / Sao Jose de Río preto
Indique el método de autenticación que utiliza para ingresar a Office365: Microsoft Authenticator
¿Cuenta con el método de Doble Autenticación para acceder a la VPN Facilita?: No</t>
        </is>
      </c>
      <c r="G4" s="2" t="inlineStr">
        <is>
          <t>SERVICIOS DE TECNOLOGIA-SEGURIDAD DE LA INFORMACION-ANALISIS ACTIVOS PARA TRABAJO EN EL EXTERIOR</t>
        </is>
      </c>
      <c r="H4" s="2" t="inlineStr">
        <is>
          <t>Web</t>
        </is>
      </c>
      <c r="I4" s="2" t="inlineStr">
        <is>
          <t>Media</t>
        </is>
      </c>
      <c r="J4" s="5">
        <v>46219.527083333334</v>
      </c>
      <c r="K4" s="2" t="inlineStr">
        <is>
          <t>JUAN CAMILO RINCON BLANCO</t>
        </is>
      </c>
      <c r="L4" s="2" t="inlineStr">
        <is>
          <t>SPT ZONA CENTRO</t>
        </is>
      </c>
      <c r="M4" s="2" t="inlineStr">
        <is>
          <t>SERVICIOS DE TI</t>
        </is>
      </c>
      <c r="N4" s="2"/>
      <c r="O4" s="2" t="inlineStr">
        <is>
          <t>SALUD</t>
        </is>
      </c>
      <c r="P4" s="2"/>
      <c r="Q4" s="2" t="inlineStr">
        <is>
          <t>AGGJXOI0JAAPCAT80DP8T80DP8668U</t>
        </is>
      </c>
      <c r="R4" s="2" t="inlineStr">
        <is>
          <t>a) 0-4</t>
        </is>
      </c>
      <c r="S4" s="4">
        <v>46224.75</v>
      </c>
      <c r="T4" s="2" t="inlineStr">
        <is>
          <t>SALUD</t>
        </is>
      </c>
      <c r="U4" s="2" t="inlineStr">
        <is>
          <t>-</t>
        </is>
      </c>
      <c r="V4" s="2" t="inlineStr">
        <is>
          <t>21/07/2026 15:12</t>
        </is>
      </c>
    </row>
    <row r="5">
      <c r="A5" s="2" t="inlineStr">
        <is>
          <t>🟢</t>
        </is>
      </c>
      <c r="B5" s="3" t="str">
        <f>HYPERLINK("https://compensar-smartit.onbmc.com/smartit/app/#/workorder/AGGDUBUKGM2Y8AT8IGPPT8IGPP9FNW","WO0000000305248")</f>
        <v>WO0000000305248</v>
      </c>
      <c r="C5" s="2" t="inlineStr">
        <is>
          <t>No</t>
        </is>
      </c>
      <c r="D5" s="2" t="inlineStr">
        <is>
          <t>PERMISOS GENERALES</t>
        </is>
      </c>
      <c r="E5" s="2" t="inlineStr">
        <is>
          <t>En curso</t>
        </is>
      </c>
      <c r="F5" s="2" t="inlineStr">
        <is>
          <t>Extensión: 310 507 8239
Ubicación: BLOQUE F TORRE F PISO 3 INNOVACION
Frente: CENTRO DE SERVICIOS COMPARTIDOS
Tipo de Servicio: EQUIPO EXTERNO RED COMPENSAR
Descripción: Agradecemos el agendamiento y escaneo de vulnerabilidades del equipo asignado a Erika Aya - Proveedor GreenSQA.
Titulo: Escaneo de vulnerabilidades equipo externo.
Tipo de Servicio: EQUIPO EXTERNO RED COMPENSAR</t>
        </is>
      </c>
      <c r="G5" s="2" t="inlineStr">
        <is>
          <t>SERVICIOS DE TECNOLOGIA-SEGURIDAD DE LA INFORMACION-EQUIPO EXTERNO RED COMPENSAR</t>
        </is>
      </c>
      <c r="H5" s="2" t="inlineStr">
        <is>
          <t>Web</t>
        </is>
      </c>
      <c r="I5" s="2" t="inlineStr">
        <is>
          <t>Alta</t>
        </is>
      </c>
      <c r="J5" s="5">
        <v>46218.49236111111</v>
      </c>
      <c r="K5" s="2" t="inlineStr">
        <is>
          <t>GERLYN RENTERIA OROZCO</t>
        </is>
      </c>
      <c r="L5" s="2" t="inlineStr">
        <is>
          <t>ZONA CENTRO</t>
        </is>
      </c>
      <c r="M5" s="2" t="inlineStr">
        <is>
          <t>SERVICIOS DE TI</t>
        </is>
      </c>
      <c r="N5" s="2"/>
      <c r="O5" s="2" t="inlineStr">
        <is>
          <t>CENTRO DE SERVICIOS COMPARTIDOS</t>
        </is>
      </c>
      <c r="P5" s="2"/>
      <c r="Q5" s="2" t="inlineStr">
        <is>
          <t>AGGDUBUKGM2Y8AT8IGPPT8IGPP9FNW</t>
        </is>
      </c>
      <c r="R5" s="2" t="inlineStr">
        <is>
          <t>b) 5-10</t>
        </is>
      </c>
      <c r="S5" s="4"/>
      <c r="T5" s="2" t="inlineStr">
        <is>
          <t>CAJA DE COMPENSACION</t>
        </is>
      </c>
      <c r="U5" s="2" t="inlineStr">
        <is>
          <t>-</t>
        </is>
      </c>
      <c r="V5" s="2" t="inlineStr">
        <is>
          <t>22/07/2026 15:49</t>
        </is>
      </c>
    </row>
    <row r="6">
      <c r="A6" s="2" t="inlineStr">
        <is>
          <t>🟢</t>
        </is>
      </c>
      <c r="B6" s="3" t="str">
        <f>HYPERLINK("https://compensar-smartit.onbmc.com/smartit/app/#/workorder/AGGDUBUKGM2Y8AT8JVEBT8JVEBOD7C","WO0000000305253")</f>
        <v>WO0000000305253</v>
      </c>
      <c r="C6" s="2" t="inlineStr">
        <is>
          <t>No</t>
        </is>
      </c>
      <c r="D6" s="2" t="inlineStr">
        <is>
          <t>PERMISOS GENERALES</t>
        </is>
      </c>
      <c r="E6" s="2" t="inlineStr">
        <is>
          <t>En curso</t>
        </is>
      </c>
      <c r="F6" s="2" t="inlineStr">
        <is>
          <t>Extensión: 310 507 8239
Ubicación: BLOQUE F TORRE F PISO 3 INNOVACION
Frente: CENTRO DE SERVICIOS COMPARTIDOS
Tipo de Servicio: EQUIPO EXTERNO RED COMPENSAR
Descripción: Agradecemos el agendamiento y escaneo de vulnerabilidades del equipo asignado a Paola Ramirez - Proveedor GreenSQA.
Titulo: Escaneo de vulnerabilidades equipo externo.
Tipo de Servicio: EQUIPO EXTERNO RED COMPENSAR</t>
        </is>
      </c>
      <c r="G6" s="2" t="inlineStr">
        <is>
          <t>SERVICIOS DE TECNOLOGIA-SEGURIDAD DE LA INFORMACION-EQUIPO EXTERNO RED COMPENSAR</t>
        </is>
      </c>
      <c r="H6" s="2" t="inlineStr">
        <is>
          <t>Web</t>
        </is>
      </c>
      <c r="I6" s="2" t="inlineStr">
        <is>
          <t>Alta</t>
        </is>
      </c>
      <c r="J6" s="5">
        <v>46219.39791666667</v>
      </c>
      <c r="K6" s="2" t="inlineStr">
        <is>
          <t>GERLYN RENTERIA OROZCO</t>
        </is>
      </c>
      <c r="L6" s="2" t="inlineStr">
        <is>
          <t>ZONA CENTRO</t>
        </is>
      </c>
      <c r="M6" s="2" t="inlineStr">
        <is>
          <t>SERVICIOS DE TI</t>
        </is>
      </c>
      <c r="N6" s="2"/>
      <c r="O6" s="2" t="inlineStr">
        <is>
          <t>CENTRO DE SERVICIOS COMPARTIDOS</t>
        </is>
      </c>
      <c r="P6" s="2"/>
      <c r="Q6" s="2" t="inlineStr">
        <is>
          <t>AGGDUBUKGM2Y8AT8JVEBT8JVEBOD7C</t>
        </is>
      </c>
      <c r="R6" s="2" t="inlineStr">
        <is>
          <t>a) 0-4</t>
        </is>
      </c>
      <c r="S6" s="4"/>
      <c r="T6" s="2" t="inlineStr">
        <is>
          <t>CAJA DE COMPENSACION</t>
        </is>
      </c>
      <c r="U6" s="2" t="inlineStr">
        <is>
          <t>-</t>
        </is>
      </c>
      <c r="V6" s="2" t="inlineStr">
        <is>
          <t>23/07/2026 13:33</t>
        </is>
      </c>
    </row>
    <row r="7">
      <c r="A7" s="2" t="inlineStr">
        <is>
          <t>🟢</t>
        </is>
      </c>
      <c r="B7" s="3" t="str">
        <f>HYPERLINK("https://compensar-smartit.onbmc.com/smartit/app/#/workorder/IDGGSWY0I24JCAT7UUMNT7UUMNOVNN","WO0000000305335")</f>
        <v>WO0000000305335</v>
      </c>
      <c r="C7" s="2" t="inlineStr">
        <is>
          <t>No</t>
        </is>
      </c>
      <c r="D7" s="2" t="inlineStr">
        <is>
          <t>Cambio TECLADO ALAMBRICO DELL OPTIPLEX 3050 T1 activo 152800003418</t>
        </is>
      </c>
      <c r="E7" s="2" t="inlineStr">
        <is>
          <t>Asignado</t>
        </is>
      </c>
      <c r="F7" s="2" t="inlineStr">
        <is>
          <t>BUEN DÍA, TECLADO NO FUNCIONA, POR FAVOR COMUNICAR A ERICK TORRES, UBICAD@ EN LA DIRECCIÓN CALLE 19 NO 79 - 37, COLEGIO LA FELICIDAD (IED), AL NÚMERO CELULAR 3102384485, ACTIVO 152800003418</t>
        </is>
      </c>
      <c r="G7" s="2" t="inlineStr">
        <is>
          <t>SERVICIOS DE TECNOLOGIA-ACTIVOS FIJOS TECNOLOGIA-ADQUISICION PARTES SIN GARANTIA</t>
        </is>
      </c>
      <c r="H7" s="2" t="inlineStr">
        <is>
          <t>Web</t>
        </is>
      </c>
      <c r="I7" s="2" t="inlineStr">
        <is>
          <t>Baja</t>
        </is>
      </c>
      <c r="J7" s="5">
        <v>46211.29236111111</v>
      </c>
      <c r="K7" s="2" t="inlineStr">
        <is>
          <t>NICK STEVE TRIANA LOPEZ</t>
        </is>
      </c>
      <c r="L7" s="2" t="inlineStr">
        <is>
          <t>ZONA OCCIDENTE</t>
        </is>
      </c>
      <c r="M7" s="2" t="inlineStr">
        <is>
          <t>SERVICIOS DE TI</t>
        </is>
      </c>
      <c r="N7" s="2"/>
      <c r="O7" s="2" t="inlineStr">
        <is>
          <t>BIENESTAR Y DESARROLLO SOCIAL</t>
        </is>
      </c>
      <c r="P7" s="2"/>
      <c r="Q7" s="2" t="inlineStr">
        <is>
          <t>IDGGSWY0I24JCAT7UUMNT7UUMNOVNN</t>
        </is>
      </c>
      <c r="R7" s="2" t="inlineStr">
        <is>
          <t>c) 11-30</t>
        </is>
      </c>
      <c r="S7" s="4"/>
      <c r="T7" s="2"/>
      <c r="U7" s="2" t="inlineStr">
        <is>
          <t>-</t>
        </is>
      </c>
      <c r="V7" s="2" t="inlineStr">
        <is>
          <t>14/08/2026 13:09</t>
        </is>
      </c>
    </row>
    <row r="8">
      <c r="A8" s="2" t="inlineStr">
        <is>
          <t>🟢</t>
        </is>
      </c>
      <c r="B8" s="3" t="str">
        <f>HYPERLINK("https://compensar-smartit.onbmc.com/smartit/app/#/workorder/IDGH043EBA7IUAT7VG2LT7VG2LBKWN","WO0000000305566")</f>
        <v>WO0000000305566</v>
      </c>
      <c r="C8" s="2" t="inlineStr">
        <is>
          <t>No</t>
        </is>
      </c>
      <c r="D8" s="2" t="inlineStr">
        <is>
          <t>Error al agregar usuario al directorio corporativo</t>
        </is>
      </c>
      <c r="E8" s="2" t="inlineStr">
        <is>
          <t>Pendiente</t>
        </is>
      </c>
      <c r="F8" s="2" t="inlineStr">
        <is>
          <t>Usuario: YAMILE PULIDO CAMARGO
Informa: La usuaria reporta inconvenientes al intentar agregar un usuario al directorio corporativo. Durante la validación se identifica que el usuario MPGOMEZG se encuentra creado en el Directorio Activo de Caja, aunque dispone de un correo de Salud. Al intentar agregarlo, el sistema no lo reconoce, por lo que se requiere realizar la configuración de la red corporativa de Caja para efectuar el redireccionamiento correcto del usuario.
Ubicación: Movilidad
Tiempo: 11:18 08/07/2026
Impacto: Usuarios afectados: 1
Placa de equipo: No aplica
Datos adicionales:
- Usuario a agregar: MPGOMEZG
Evidencias:
1. Se recibe el reporte de inconveniente al agregar un usuario al directorio corporativo.
2. Se valida la información suministrada por la usuaria.
3. Se verifica que el usuario MPGOMEZG se encuentra creado en el Directorio Activo de Caja.
4. Se identifica que el usuario posee correo de Salud.
5. Se realizan pruebas de búsqueda y se evidencia que el sistema no permite agregar el usuario.
6. Se determina que se requiere configurar la red corporativa de Caja para realizar el redireccionamiento correspondiente.
7. Se documenta la gestión realizada.</t>
        </is>
      </c>
      <c r="G8" s="2" t="inlineStr">
        <is>
          <t>SERVICIOS DE TECNOLOGIA-ACOMPANAMIENTO-EJECUCION DE ACTIVIDADES EN SITIO</t>
        </is>
      </c>
      <c r="H8" s="2" t="inlineStr">
        <is>
          <t>Telefono</t>
        </is>
      </c>
      <c r="I8" s="2" t="inlineStr">
        <is>
          <t>Baja</t>
        </is>
      </c>
      <c r="J8" s="5">
        <v>46211.47777777778</v>
      </c>
      <c r="K8" s="2" t="inlineStr">
        <is>
          <t>IVAN FELIPE GARCIA MANRIQUE</t>
        </is>
      </c>
      <c r="L8" s="2" t="inlineStr">
        <is>
          <t>SPT CABECERA CARRERA 69</t>
        </is>
      </c>
      <c r="M8" s="2" t="inlineStr">
        <is>
          <t>SERVICIOS DE TI</t>
        </is>
      </c>
      <c r="N8" s="2"/>
      <c r="O8" s="2" t="inlineStr">
        <is>
          <t>SALUD</t>
        </is>
      </c>
      <c r="P8" s="2"/>
      <c r="Q8" s="2" t="inlineStr">
        <is>
          <t>IDGH043EBA7IUAT7VG2LT7VG2LBKWN</t>
        </is>
      </c>
      <c r="R8" s="2" t="inlineStr">
        <is>
          <t>c) 11-30</t>
        </is>
      </c>
      <c r="S8" s="4">
        <v>46226.708333333336</v>
      </c>
      <c r="T8" s="2"/>
      <c r="U8" s="2" t="inlineStr">
        <is>
          <t>-</t>
        </is>
      </c>
      <c r="V8" s="2" t="inlineStr">
        <is>
          <t>17/07/2026 13:49</t>
        </is>
      </c>
    </row>
    <row r="9">
      <c r="A9" s="2" t="inlineStr">
        <is>
          <t>🟢</t>
        </is>
      </c>
      <c r="B9" s="3" t="str">
        <f>HYPERLINK("https://compensar-smartit.onbmc.com/smartit/app/#/workorder/IDGGSWY0I24JCAT7VDI4T7VDI4ZXY5","WO0000000305625")</f>
        <v>WO0000000305625</v>
      </c>
      <c r="C9" s="2" t="inlineStr">
        <is>
          <t>No</t>
        </is>
      </c>
      <c r="D9" s="2" t="inlineStr">
        <is>
          <t>Consultas SQL fallidas por falta de software BCP</t>
        </is>
      </c>
      <c r="E9" s="2" t="inlineStr">
        <is>
          <t>Pendiente</t>
        </is>
      </c>
      <c r="F9" s="2" t="inlineStr">
        <is>
          <t>Usuario:    Angie Katherine Ortiz Tique
CC:         1013640818
Tel:        3219735234
Informa:    La colaboradora reporta que al realizar la importación de datos en SQL mediante la herramienta "BCP" desde CMD, al realizar las actividades requeridas el EV muestra un mensaje indicando que no reconoce la herramienta BCP dentro de su perfil EV 7. Al parecer las consultas SQL se encuentran afectadas por falta del software BCP.
Ubicación:  Teletrabajo EV
Tiempo:     6:30
Impacto:    1
Evidencias:</t>
        </is>
      </c>
      <c r="G9" s="2" t="inlineStr">
        <is>
          <t>SERVICIOS DE TECNOLOGIA-ESCRITORIOS VIRTUALES-CONFIGURAR SOFTWARE INSTALADO</t>
        </is>
      </c>
      <c r="H9" s="2" t="inlineStr">
        <is>
          <t>Telefono</t>
        </is>
      </c>
      <c r="I9" s="2" t="inlineStr">
        <is>
          <t>Baja</t>
        </is>
      </c>
      <c r="J9" s="5">
        <v>46211.42291666667</v>
      </c>
      <c r="K9" s="2" t="inlineStr">
        <is>
          <t>FABIAN JESSID PASTRANA AGUIRRE</t>
        </is>
      </c>
      <c r="L9" s="2" t="inlineStr">
        <is>
          <t>SPT ESCRITORIO VIRTUAL</t>
        </is>
      </c>
      <c r="M9" s="2" t="inlineStr">
        <is>
          <t>SERVICIOS DE TI</t>
        </is>
      </c>
      <c r="N9" s="2" t="inlineStr">
        <is>
          <t>VMAZTT3PRD7-70</t>
        </is>
      </c>
      <c r="O9" s="2" t="inlineStr">
        <is>
          <t>SALUD</t>
        </is>
      </c>
      <c r="P9" s="2"/>
      <c r="Q9" s="2" t="inlineStr">
        <is>
          <t>IDGGSWY0I24JCAT7VDI4T7VDI4ZXY5</t>
        </is>
      </c>
      <c r="R9" s="2" t="inlineStr">
        <is>
          <t>c) 11-30</t>
        </is>
      </c>
      <c r="S9" s="4">
        <v>46225.75</v>
      </c>
      <c r="T9" s="2"/>
      <c r="U9" s="2" t="inlineStr">
        <is>
          <t>-</t>
        </is>
      </c>
      <c r="V9" s="2" t="inlineStr">
        <is>
          <t>21/07/2026 08:30</t>
        </is>
      </c>
    </row>
    <row r="10">
      <c r="A10" s="2" t="inlineStr">
        <is>
          <t>🟢</t>
        </is>
      </c>
      <c r="B10" s="3" t="str">
        <f>HYPERLINK("https://compensar-smartit.onbmc.com/smartit/app/#/workorder/AGGH043EBA7IUAT7ZGFLT7ZGFL0N0E","WO0000000306908")</f>
        <v>WO0000000306908</v>
      </c>
      <c r="C10" s="2" t="inlineStr">
        <is>
          <t>No</t>
        </is>
      </c>
      <c r="D10" s="2" t="inlineStr">
        <is>
          <t>Asesoría, Acompañamiento, Actividades en Sitio y Entrega de Informes</t>
        </is>
      </c>
      <c r="E10" s="2" t="inlineStr">
        <is>
          <t>Pendiente</t>
        </is>
      </c>
      <c r="F10" s="2" t="inlineStr">
        <is>
          <t>Ubicación para atención del Servicio: CSDE TORRE B PISO 4 ROTONDA RIESGO Y CUMPLIMIENTO
Número de contacto para la atención del servicio: 1234567
Frente: CORPORATIVO
Titulo: Enrolamiento (intune) de Tablets Zona digital Calle 94
Descripción: Buenas tardes Equipo
El objetivo de este espacio es apoyarnos con @MILENA PATRICIA ARDILA BARRERA y @JAIRO ALFONSO ESPINOSA RIAÑO para hacer el piloto de enrolamiento de tablets con intune y posterior a ello transicionar a Falcon que es la nueva solución de antimalware en la organización. 
@MILENA PATRICIA ARDILA BARRERA de tu parte requerimos por favor nos facilites 1 de las tablets que utilizan los anfitriones en zona digital para realizar esta prueba y que tengamos mapeados los sitios (url´s de sitios internos o externos) a los cuales requiere acceso este perfil en sus actividades diarias.
Mil gracias. 
Paola Barrera
Seguridad de la Información
_________
Se envia agenda a Jairo Espinosa el martes 14 julio 2026 11 am
Tipo de Servicio: ACOMPAÑAMIENTO / EJECUCION DE ACTIVIDAD EN SITIO
Grupo Requerido: SEGURIDAD INFORMATICA ANTIVIRUS
Fecha requerida para la actividad: 2026-07-14
Duración de la actividad en minutos: 60
</t>
        </is>
      </c>
      <c r="G10" s="2" t="inlineStr">
        <is>
          <t>SERVICIOS DE TECNOLOGIA-ASESORIA/ACOMPANAMIENTO/ACTIVIDADES-ACOMPAÑAMIENTO / EJECUCION DE ACTIVIDAD EN SITIO</t>
        </is>
      </c>
      <c r="H10" s="2" t="inlineStr">
        <is>
          <t>Web</t>
        </is>
      </c>
      <c r="I10" s="2" t="inlineStr">
        <is>
          <t>Baja</t>
        </is>
      </c>
      <c r="J10" s="5">
        <v>46213.623611111114</v>
      </c>
      <c r="K10" s="2" t="inlineStr">
        <is>
          <t>MARIA FERNANDA PEREIRA BUENO</t>
        </is>
      </c>
      <c r="L10" s="2" t="inlineStr">
        <is>
          <t>SPT CABECERA CALLE 94</t>
        </is>
      </c>
      <c r="M10" s="2" t="inlineStr">
        <is>
          <t>SERVICIOS DE TI</t>
        </is>
      </c>
      <c r="N10" s="2"/>
      <c r="O10" s="2" t="inlineStr">
        <is>
          <t>CORPORATIVO</t>
        </is>
      </c>
      <c r="P10" s="2"/>
      <c r="Q10" s="2" t="inlineStr">
        <is>
          <t>AGGH043EBA7IUAT7ZGFLT7ZGFL0N0E</t>
        </is>
      </c>
      <c r="R10" s="2" t="inlineStr">
        <is>
          <t>b) 5-10</t>
        </is>
      </c>
      <c r="S10" s="4">
        <v>46224.708333333336</v>
      </c>
      <c r="T10" s="2" t="inlineStr">
        <is>
          <t>CAJA DE COMPENSACION</t>
        </is>
      </c>
      <c r="U10" s="2" t="inlineStr">
        <is>
          <t>-</t>
        </is>
      </c>
      <c r="V10" s="2" t="inlineStr">
        <is>
          <t>16/07/2026 15:26</t>
        </is>
      </c>
    </row>
    <row r="11">
      <c r="A11" s="2" t="inlineStr">
        <is>
          <t>🟠</t>
        </is>
      </c>
      <c r="B11" s="3" t="str">
        <f>HYPERLINK("https://compensar-smartit.onbmc.com/smartit/app/#/workorder/AGGIBMZTENYZ6AT8G20VT8G20VVQ4S","WO0000000307604")</f>
        <v>WO0000000307604</v>
      </c>
      <c r="C11" s="2" t="inlineStr">
        <is>
          <t>No</t>
        </is>
      </c>
      <c r="D11" s="2" t="inlineStr">
        <is>
          <t>Asesoría, Acompañamiento, Actividades en Sitio y Entrega de Informes</t>
        </is>
      </c>
      <c r="E11" s="2" t="inlineStr">
        <is>
          <t>En curso</t>
        </is>
      </c>
      <c r="F11" s="2" t="inlineStr">
        <is>
          <t>Ubicación para atención del Servicio: CLINICA CENTENARIO
Número de contacto para la atención del servicio: 3213060533
Frente: SALUD
Titulo: acompañamiento de actividades en clinica centenario
Descripción: Buenos días, agradezco su ayuda con programación de acompañamiento presencial en clínica centenario para los  22 al 24 de julio para implementación hexabank desde las 8 am.
Agradecemos su confirmacióN 3213060533 para estas fechas estan citados los proveedores de los aplicartivos e ingenieria de la clinica.
Tipo de Servicio: EJECUCION DE ACTIVIDADES EN SITIO
Subcategoría: ACOMPAÑAMIENTO
Grupo Requerido: ADA LABORATORIO
Fecha requerida para la actividad: 2026-07-22
Duración de la actividad en minutos: 240
Adjunto: [AGGGSWY0I24JCAT8G20LT8G20LX24U]
</t>
        </is>
      </c>
      <c r="G11" s="2" t="inlineStr">
        <is>
          <t>SERVICIOS DE TECNOLOGIA-ACOMPANAMIENTO-EJECUCION DE ACTIVIDADES EN SITIO</t>
        </is>
      </c>
      <c r="H11" s="2" t="inlineStr">
        <is>
          <t>Web</t>
        </is>
      </c>
      <c r="I11" s="2" t="inlineStr">
        <is>
          <t>Baja</t>
        </is>
      </c>
      <c r="J11" s="5">
        <v>46217.495833333334</v>
      </c>
      <c r="K11" s="2" t="inlineStr">
        <is>
          <t>SANTIAGO PERDOMO ACERO</t>
        </is>
      </c>
      <c r="L11" s="2" t="inlineStr">
        <is>
          <t>ZONA CENTRO</t>
        </is>
      </c>
      <c r="M11" s="2" t="inlineStr">
        <is>
          <t>SERVICIOS DE TI</t>
        </is>
      </c>
      <c r="N11" s="2"/>
      <c r="O11" s="2" t="inlineStr">
        <is>
          <t>SALUD</t>
        </is>
      </c>
      <c r="P11" s="2"/>
      <c r="Q11" s="2" t="inlineStr">
        <is>
          <t>AGGIBMZTENYZ6AT8G20VT8G20VVQ4S</t>
        </is>
      </c>
      <c r="R11" s="2" t="inlineStr">
        <is>
          <t>b) 5-10</t>
        </is>
      </c>
      <c r="S11" s="4"/>
      <c r="T11" s="2" t="inlineStr">
        <is>
          <t>SALUD</t>
        </is>
      </c>
      <c r="U11" s="2" t="inlineStr">
        <is>
          <t>-</t>
        </is>
      </c>
      <c r="V11" s="2" t="inlineStr">
        <is>
          <t>21/07/2026 15:00</t>
        </is>
      </c>
    </row>
    <row r="12">
      <c r="A12" s="2" t="inlineStr">
        <is>
          <t>🟠</t>
        </is>
      </c>
      <c r="B12" s="3" t="str">
        <f>HYPERLINK("https://compensar-smartit.onbmc.com/smartit/app/#/workorder/AGGIBMZTENYZ6AT8G2RET8G2REWZOQ","WO0000000307613")</f>
        <v>WO0000000307613</v>
      </c>
      <c r="C12" s="2" t="inlineStr">
        <is>
          <t>No</t>
        </is>
      </c>
      <c r="D12" s="2" t="inlineStr">
        <is>
          <t>Aplicación de Usuario Final</t>
        </is>
      </c>
      <c r="E12" s="2" t="inlineStr">
        <is>
          <t>En curso</t>
        </is>
      </c>
      <c r="F12" s="2" t="inlineStr">
        <is>
          <t>Ubicación para atención del Servicio: BLOQUE F TORRE F PISO 4 TALENTO HUMANO
Número de contacto para la atención del servicio: 3042083508
Frente: CORPORATIVO
Titulo: Solicitud backup de correo y teams corporativo
Descripción: Buenos dias, solicito amablemente un backup de mi correo corporativo y asi mismo mi teams, desde la mesa de ayuda me borraron toda la información que tenia alojada, en este momento no cuento con correos y chats de meses anteriores y es necesario contar con la información para la gestión correspondiente. adjunto aprobación de mi jefe inmediato. Muchas gracias.
Tipo de Servicio: PARAMETRIZAR Y O CONFIGURAR APLICACION
Aplicación: CORREO ELECTRONICO
Adjunto: [AGGIBMZTENYZ6AT8G2RAT8G2RAWZ7U]
</t>
        </is>
      </c>
      <c r="G12" s="2" t="inlineStr">
        <is>
          <t>SERVICIOS DE TECNOLOGIA-GESTION DE APLICACIONES-PARAMETRIZAR Y O CONFIGURAR APLICACION</t>
        </is>
      </c>
      <c r="H12" s="2" t="inlineStr">
        <is>
          <t>Web</t>
        </is>
      </c>
      <c r="I12" s="2" t="inlineStr">
        <is>
          <t>Baja</t>
        </is>
      </c>
      <c r="J12" s="5">
        <v>46217.50277777778</v>
      </c>
      <c r="K12" s="2" t="inlineStr">
        <is>
          <t>DILAN SAMIR LOPEZ ARAUJO</t>
        </is>
      </c>
      <c r="L12" s="2" t="inlineStr">
        <is>
          <t>ZONA CENTRO</t>
        </is>
      </c>
      <c r="M12" s="2" t="inlineStr">
        <is>
          <t>SERVICIOS DE TI</t>
        </is>
      </c>
      <c r="N12" s="2"/>
      <c r="O12" s="2" t="inlineStr">
        <is>
          <t>CORPORATIVO</t>
        </is>
      </c>
      <c r="P12" s="2"/>
      <c r="Q12" s="2" t="inlineStr">
        <is>
          <t>AGGIBMZTENYZ6AT8G2RET8G2REWZOQ</t>
        </is>
      </c>
      <c r="R12" s="2" t="inlineStr">
        <is>
          <t>b) 5-10</t>
        </is>
      </c>
      <c r="S12" s="4"/>
      <c r="T12" s="2" t="inlineStr">
        <is>
          <t>CAJA DE COMPENSACION</t>
        </is>
      </c>
      <c r="U12" s="2" t="inlineStr">
        <is>
          <t>-</t>
        </is>
      </c>
      <c r="V12" s="2" t="inlineStr">
        <is>
          <t>21/07/2026 14:05</t>
        </is>
      </c>
    </row>
    <row r="13">
      <c r="A13" s="2" t="inlineStr">
        <is>
          <t>🟢</t>
        </is>
      </c>
      <c r="B13" s="3" t="str">
        <f>HYPERLINK("https://compensar-smartit.onbmc.com/smartit/app/#/workorder/IDGIBMZTENYZ6AT8G2TJT8G2TJXDBF","WO0000000307614")</f>
        <v>WO0000000307614</v>
      </c>
      <c r="C13" s="2" t="inlineStr">
        <is>
          <t>No</t>
        </is>
      </c>
      <c r="D13" s="2" t="inlineStr">
        <is>
          <t>Envio/instalación BATERIA HP ELITEBOOK 845 G7 activo 152800009330</t>
        </is>
      </c>
      <c r="E13" s="2" t="inlineStr">
        <is>
          <t>Asignado</t>
        </is>
      </c>
      <c r="F13" s="2" t="inlineStr">
        <is>
          <t>Usuario: Gerty Gonzalez Martinez 
CC: 52542956
Tel: 3228868113
Informa: la batería se descarga muy rápido 
Ubicación: movilidad (sede principal empresarial , piso 2 )
Tiempo: 10:51 a. m. 3/07/2026
Impacto: 1
Evidencias:  Se hace diagnostico de la batería por el aplicativo de análisis ,  Se escala para su gestión
Numero activo : P009330</t>
        </is>
      </c>
      <c r="G13" s="2" t="inlineStr">
        <is>
          <t>SERVICIOS DE TECNOLOGIA-ACTIVOS FIJOS TECNOLOGIA-ADQUISICION PARTES SIN GARANTIA</t>
        </is>
      </c>
      <c r="H13" s="2" t="inlineStr">
        <is>
          <t>Web</t>
        </is>
      </c>
      <c r="I13" s="2" t="inlineStr">
        <is>
          <t>Baja</t>
        </is>
      </c>
      <c r="J13" s="5">
        <v>46217.50902777778</v>
      </c>
      <c r="K13" s="2" t="inlineStr">
        <is>
          <t>GERLYN RENTERIA OROZCO</t>
        </is>
      </c>
      <c r="L13" s="2" t="inlineStr">
        <is>
          <t>ZONA CENTRO</t>
        </is>
      </c>
      <c r="M13" s="2" t="inlineStr">
        <is>
          <t>SERVICIOS DE TI</t>
        </is>
      </c>
      <c r="N13" s="2"/>
      <c r="O13" s="2" t="inlineStr">
        <is>
          <t>BIENESTAR Y DESARROLLO SOCIAL</t>
        </is>
      </c>
      <c r="P13" s="2"/>
      <c r="Q13" s="2" t="inlineStr">
        <is>
          <t>IDGIBMZTENYZ6AT8G2TJT8G2TJXDBF</t>
        </is>
      </c>
      <c r="R13" s="2" t="inlineStr">
        <is>
          <t>b) 5-10</t>
        </is>
      </c>
      <c r="S13" s="4"/>
      <c r="T13" s="2"/>
      <c r="U13" s="2" t="inlineStr">
        <is>
          <t>-</t>
        </is>
      </c>
      <c r="V13" s="2" t="inlineStr">
        <is>
          <t>13/08/2026 13:14</t>
        </is>
      </c>
    </row>
    <row r="14">
      <c r="A14" s="2" t="inlineStr">
        <is>
          <t>🟢</t>
        </is>
      </c>
      <c r="B14" s="3" t="str">
        <f>HYPERLINK("https://compensar-smartit.onbmc.com/smartit/app/#/workorder/IDGIBMZTENYZ6AT8G38PT8G38PY1L0","WO0000000307624")</f>
        <v>WO0000000307624</v>
      </c>
      <c r="C14" s="2" t="inlineStr">
        <is>
          <t>No</t>
        </is>
      </c>
      <c r="D14" s="2" t="inlineStr">
        <is>
          <t>Envio/instalación MONITOR DESKTOP DELL OPTIPLEX 3050 T1 activo 152800003768</t>
        </is>
      </c>
      <c r="E14" s="2" t="inlineStr">
        <is>
          <t>Asignado</t>
        </is>
      </c>
      <c r="F14" s="2" t="inlineStr">
        <is>
          <t>BUEN DÍA, MONITOR NO PRENDE, YA SE A CARGADO LAS ORDES NO 629424 , 658392 EN LAS CUALES LA SOLUCION NO ES LA ADECUADA , POR FAVOR COMUNICAR A JAKELINE HURTADO MORENO, UBICAD@ EN LA DIRECCIÓN CARRERA 80 B NO 6-71, COLEGIO EMMA REYES (IED), AL NÚMERO CELULAR 3016945284, ACTIVO 152800003768 EN ELCASO DE REQUERIR CAMBIO DE LOS PERIFERICOS PARA LA ATENCION , POR FAVOR DEJAR IMPLEMENTO DE CONTINGENCIA PARA CONTINUIDAD DE LA OPERACION</t>
        </is>
      </c>
      <c r="G14" s="2" t="inlineStr">
        <is>
          <t>SERVICIOS DE TECNOLOGIA-ACTIVOS FIJOS TECNOLOGIA-ADQUISICION PARTES SIN GARANTIA</t>
        </is>
      </c>
      <c r="H14" s="2" t="inlineStr">
        <is>
          <t>Web</t>
        </is>
      </c>
      <c r="I14" s="2" t="inlineStr">
        <is>
          <t>Baja</t>
        </is>
      </c>
      <c r="J14" s="5">
        <v>46217.51597222222</v>
      </c>
      <c r="K14" s="2" t="inlineStr">
        <is>
          <t>NICK STEVE TRIANA LOPEZ</t>
        </is>
      </c>
      <c r="L14" s="2" t="inlineStr">
        <is>
          <t>ZONA CENTRO</t>
        </is>
      </c>
      <c r="M14" s="2" t="inlineStr">
        <is>
          <t>SERVICIOS DE TI</t>
        </is>
      </c>
      <c r="N14" s="2"/>
      <c r="O14" s="2" t="inlineStr">
        <is>
          <t>BIENESTAR Y DESARROLLO SOCIAL</t>
        </is>
      </c>
      <c r="P14" s="2"/>
      <c r="Q14" s="2" t="inlineStr">
        <is>
          <t>IDGIBMZTENYZ6AT8G38PT8G38PY1L0</t>
        </is>
      </c>
      <c r="R14" s="2" t="inlineStr">
        <is>
          <t>b) 5-10</t>
        </is>
      </c>
      <c r="S14" s="4"/>
      <c r="T14" s="2"/>
      <c r="U14" s="2" t="inlineStr">
        <is>
          <t>-</t>
        </is>
      </c>
      <c r="V14" s="2" t="inlineStr">
        <is>
          <t>13/08/2026 12:23</t>
        </is>
      </c>
    </row>
    <row r="15">
      <c r="A15" s="2" t="inlineStr">
        <is>
          <t>🟢</t>
        </is>
      </c>
      <c r="B15" s="3" t="str">
        <f>HYPERLINK("https://compensar-smartit.onbmc.com/smartit/app/#/workorder/IDGIBMZTENYZ6AT8G8IZT8G8IZE3H6","WO0000000307665")</f>
        <v>WO0000000307665</v>
      </c>
      <c r="C15" s="2" t="inlineStr">
        <is>
          <t>No</t>
        </is>
      </c>
      <c r="D15" s="2" t="inlineStr">
        <is>
          <t>Falla con equipo</t>
        </is>
      </c>
      <c r="E15" s="2" t="inlineStr">
        <is>
          <t>En curso</t>
        </is>
      </c>
      <c r="F15" s="2" t="inlineStr">
        <is>
          <t>Se escala al grupo PARTES Y GARANTIAS porque el equipo presenta fallas en sus componentes físicos, que deben evaluarse para su correspondiente tramite.
Se genera caso CDI # (Caso: 29545)</t>
        </is>
      </c>
      <c r="G15" s="2" t="inlineStr">
        <is>
          <t>SERVICIOS DE TECNOLOGIA-ACTIVOS FIJOS TECNOLOGIA-ADQUISICION PARTES SIN GARANTIA</t>
        </is>
      </c>
      <c r="H15" s="2" t="inlineStr">
        <is>
          <t>Web</t>
        </is>
      </c>
      <c r="I15" s="2" t="inlineStr">
        <is>
          <t>Baja</t>
        </is>
      </c>
      <c r="J15" s="5">
        <v>46217.58541666667</v>
      </c>
      <c r="K15" s="2" t="inlineStr">
        <is>
          <t>SANTIAGO PERDOMO ACERO</t>
        </is>
      </c>
      <c r="L15" s="2" t="inlineStr">
        <is>
          <t>ZONA CENTRO</t>
        </is>
      </c>
      <c r="M15" s="2" t="inlineStr">
        <is>
          <t>SERVICIOS DE TI</t>
        </is>
      </c>
      <c r="N15" s="2"/>
      <c r="O15" s="2" t="inlineStr">
        <is>
          <t>BIENESTAR Y DESARROLLO SOCIAL</t>
        </is>
      </c>
      <c r="P15" s="2"/>
      <c r="Q15" s="2" t="inlineStr">
        <is>
          <t>IDGIBMZTENYZ6AT8G8IZT8G8IZE3H6</t>
        </is>
      </c>
      <c r="R15" s="2" t="inlineStr">
        <is>
          <t>b) 5-10</t>
        </is>
      </c>
      <c r="S15" s="4"/>
      <c r="T15" s="2"/>
      <c r="U15" s="2" t="inlineStr">
        <is>
          <t>-</t>
        </is>
      </c>
      <c r="V15" s="2" t="inlineStr">
        <is>
          <t>13/08/2026 14:03</t>
        </is>
      </c>
    </row>
    <row r="16">
      <c r="A16" s="2" t="inlineStr">
        <is>
          <t>🟢</t>
        </is>
      </c>
      <c r="B16" s="3" t="str">
        <f>HYPERLINK("https://compensar-smartit.onbmc.com/smartit/app/#/workorder/AGGGSWY0I24JCAT8IANPT8IANP1XQ5","WO0000000307988")</f>
        <v>WO0000000307988</v>
      </c>
      <c r="C16" s="2" t="inlineStr">
        <is>
          <t>No</t>
        </is>
      </c>
      <c r="D16" s="2" t="inlineStr">
        <is>
          <t>Aplicación de Usuario Final</t>
        </is>
      </c>
      <c r="E16" s="2" t="inlineStr">
        <is>
          <t>Pendiente</t>
        </is>
      </c>
      <c r="F16" s="2" t="inlineStr">
        <is>
          <t>Ubicación para atención del Servicio: BLOQUE F TORRE F PISO 2 MERCADEO
Número de contacto para la atención del servicio: 3004819609
Frente: BIENESTAR Y DESARROLLO SOCIAL
Titulo: instalar
Descripción: Buen día, agradezco instalar zeus a los siguientes colaboradores:
Ana Maria Buitrago Guacaneme	1033752531
Arbey Fabian Pachon Alarcon	1019072433
Deisy Valentina Aldana Quijano	1023019082
Gloria Yazmin Bernal Ibarra	1020733809
Hasbleidy Nayibe Ramirez Cetina	1023912297
Jenny Alexandra Rodriguez Cortes	1073504571
Laura Valentina Martinez Martinez	1022446743
Llindry Lorena Moreno Torres	1019070106
Marisol Virguez	52270997
Sindy Lorena Diaz Cabiativa	1015456541
Tania Stefanny Castro Castro	1233900585
William Alejandro Parada Navas	1018491997
Yudi Lorena Falla Cano	1007851666
Maria Catalina Antolinez Lopez	1001048222
Fabian Alejandro Zambrano Arciniegas	1030660054
Viviana Paola Guarnizo Sierra	52792229
Jorge Felix  Medina Anchundia	502259
Cindy Nayibe Castiblanco Rocha	1020744314
Tipo de Servicio: INSTALAR DESINSTALAR APLICACION
Aplicación: SWEX36-ZEUS
</t>
        </is>
      </c>
      <c r="G16" s="2" t="inlineStr">
        <is>
          <t>SERVICIOS DE TECNOLOGIA-GESTION DE APLICACIONES-INSTALAR DESINSTALAR APLICACION</t>
        </is>
      </c>
      <c r="H16" s="2" t="inlineStr">
        <is>
          <t>Web</t>
        </is>
      </c>
      <c r="I16" s="2" t="inlineStr">
        <is>
          <t>Baja</t>
        </is>
      </c>
      <c r="J16" s="5">
        <v>46218.40138888889</v>
      </c>
      <c r="K16" s="2" t="inlineStr">
        <is>
          <t>KEVIN ALEXIS GARCIA GUARACA</t>
        </is>
      </c>
      <c r="L16" s="2" t="inlineStr">
        <is>
          <t>ZONA CENTRO</t>
        </is>
      </c>
      <c r="M16" s="2" t="inlineStr">
        <is>
          <t>SERVICIOS DE TI</t>
        </is>
      </c>
      <c r="N16" s="2"/>
      <c r="O16" s="2" t="inlineStr">
        <is>
          <t>BIENESTAR Y DESARROLLO SOCIAL</t>
        </is>
      </c>
      <c r="P16" s="2"/>
      <c r="Q16" s="2" t="inlineStr">
        <is>
          <t>AGGGSWY0I24JCAT8IANPT8IANP1XQ5</t>
        </is>
      </c>
      <c r="R16" s="2" t="inlineStr">
        <is>
          <t>b) 5-10</t>
        </is>
      </c>
      <c r="S16" s="4">
        <v>46227.75</v>
      </c>
      <c r="T16" s="2" t="inlineStr">
        <is>
          <t>CAJA DE COMPENSACION</t>
        </is>
      </c>
      <c r="U16" s="2" t="inlineStr">
        <is>
          <t>-</t>
        </is>
      </c>
      <c r="V16" s="2" t="inlineStr">
        <is>
          <t>21/07/2026 09:38</t>
        </is>
      </c>
    </row>
    <row r="17">
      <c r="A17" s="2" t="inlineStr">
        <is>
          <t>🟠</t>
        </is>
      </c>
      <c r="B17" s="3" t="str">
        <f>HYPERLINK("https://compensar-smartit.onbmc.com/smartit/app/#/workorder/IDGIBMZTENYZ6AT8IC8YT8IC8YD53O","WO0000000308081")</f>
        <v>WO0000000308081</v>
      </c>
      <c r="C17" s="2" t="inlineStr">
        <is>
          <t>No</t>
        </is>
      </c>
      <c r="D17" s="2" t="inlineStr">
        <is>
          <t>Instalar complementos de excel</t>
        </is>
      </c>
      <c r="E17" s="2" t="inlineStr">
        <is>
          <t>En curso</t>
        </is>
      </c>
      <c r="F17" s="2" t="inlineStr">
        <is>
          <t>Usuario: Diaz, Julie
CC: 1073232552
Tel: 3125104390
Informa: Instalar complementos de excel
Ubicación:  desde casa
Tiempo: 10:17 a. m. 15/07/2026
Impacto: 1
Evidencias: activo P024796, se toma equipo por remoto, se instala el complemento de analisys for excel pero falta el desing</t>
        </is>
      </c>
      <c r="G17" s="2" t="inlineStr">
        <is>
          <t>SERVICIOS DE TECNOLOGIA-GESTION DE APLICACIONES-INSTALAR DESINSTALAR APLICACION</t>
        </is>
      </c>
      <c r="H17" s="2" t="inlineStr">
        <is>
          <t>Telefono</t>
        </is>
      </c>
      <c r="I17" s="2" t="inlineStr">
        <is>
          <t>Baja</t>
        </is>
      </c>
      <c r="J17" s="5">
        <v>46218.45694444444</v>
      </c>
      <c r="K17" s="2" t="inlineStr">
        <is>
          <t>ANDERSON JULIAN RATIVA RAMIREZ</t>
        </is>
      </c>
      <c r="L17" s="2" t="inlineStr">
        <is>
          <t>ZONA CENTRO</t>
        </is>
      </c>
      <c r="M17" s="2" t="inlineStr">
        <is>
          <t>SERVICIOS DE TI</t>
        </is>
      </c>
      <c r="N17" s="2" t="inlineStr">
        <is>
          <t>P024796</t>
        </is>
      </c>
      <c r="O17" s="2" t="inlineStr">
        <is>
          <t>BIENESTAR Y DESARROLLO SOCIAL</t>
        </is>
      </c>
      <c r="P17" s="2"/>
      <c r="Q17" s="2" t="inlineStr">
        <is>
          <t>IDGIBMZTENYZ6AT8IC8YT8IC8YD53O</t>
        </is>
      </c>
      <c r="R17" s="2" t="inlineStr">
        <is>
          <t>b) 5-10</t>
        </is>
      </c>
      <c r="S17" s="4"/>
      <c r="T17" s="2"/>
      <c r="U17" s="2" t="inlineStr">
        <is>
          <t>-</t>
        </is>
      </c>
      <c r="V17" s="2" t="inlineStr">
        <is>
          <t>21/07/2026 10:58</t>
        </is>
      </c>
    </row>
    <row r="18">
      <c r="A18" s="2" t="inlineStr">
        <is>
          <t>🟢</t>
        </is>
      </c>
      <c r="B18" s="3" t="str">
        <f>HYPERLINK("https://compensar-smartit.onbmc.com/smartit/app/#/workorder/AGGGSWY0I24JCAT8IJOZT8IJOZRLNH","WO0000000308197")</f>
        <v>WO0000000308197</v>
      </c>
      <c r="C18" s="2" t="inlineStr">
        <is>
          <t>No</t>
        </is>
      </c>
      <c r="D18" s="2" t="inlineStr">
        <is>
          <t>Asesoría, Acompañamiento, Actividades en Sitio y Entrega de Informes</t>
        </is>
      </c>
      <c r="E18" s="2" t="inlineStr">
        <is>
          <t>Pendiente</t>
        </is>
      </c>
      <c r="F18" s="2" t="inlineStr">
        <is>
          <t>Ubicación para atención del Servicio: SUBA INTEGRAL TORRE A PISO 1 CIRCULACION
Número de contacto para la atención del servicio: 3102944825
Frente: CORPORATIVO
Titulo: Maniobra de desconexión suba Integral
Descripción: Maniobra de conexión:
Se realizará el domingo 26 de julio, de 8:00 p.m. a 4;00 a.m., contemplando las siguientes actividades:
•	Des energización total del sistema.
•	Intervención eléctrica.
•	Conexión de acometidas.
•	Interconexión del sistema solar.
•	Ajustes, validaciones y pruebas operativas.
Con base a esto, se requiere apoyo del disponible de soporte al puesto de trabajo para realizar las pruebas en la sede una vez culmine la conexión del fluido eléctrico revisar que todos los servicios se encuentren disponibles.
Tipo de Servicio: ACOMPAÑAMIENTO / EJECUCION DE ACTIVIDAD EN SITIO
Grupo Requerido: ZONA NOROCCIDENTE
Fecha requerida para la actividad: 2026-07-26
Duración de la actividad en minutos: 60
Adjunto: [AGGIBMZTENYZ6AT8IJO9T8IJO93BM5]
</t>
        </is>
      </c>
      <c r="G18" s="2" t="inlineStr">
        <is>
          <t>SERVICIOS DE TECNOLOGIA-ASESORIA/ACOMPANAMIENTO/ACTIVIDADES-ACOMPAÑAMIENTO / EJECUCION DE ACTIVIDAD EN SITIO</t>
        </is>
      </c>
      <c r="H18" s="2" t="inlineStr">
        <is>
          <t>Web</t>
        </is>
      </c>
      <c r="I18" s="2" t="inlineStr">
        <is>
          <t>Baja</t>
        </is>
      </c>
      <c r="J18" s="5">
        <v>46218.53680555556</v>
      </c>
      <c r="K18" s="2" t="inlineStr">
        <is>
          <t>DANIEL ALEJANDRO BORDA MESTIZO</t>
        </is>
      </c>
      <c r="L18" s="2" t="inlineStr">
        <is>
          <t>ZONA NOROCCIDENTE</t>
        </is>
      </c>
      <c r="M18" s="2" t="inlineStr">
        <is>
          <t>SERVICIOS DE TI</t>
        </is>
      </c>
      <c r="N18" s="2"/>
      <c r="O18" s="2" t="inlineStr">
        <is>
          <t>CORPORATIVO</t>
        </is>
      </c>
      <c r="P18" s="2"/>
      <c r="Q18" s="2" t="inlineStr">
        <is>
          <t>AGGGSWY0I24JCAT8IJOZT8IJOZRLNH</t>
        </is>
      </c>
      <c r="R18" s="2" t="inlineStr">
        <is>
          <t>b) 5-10</t>
        </is>
      </c>
      <c r="S18" s="4">
        <v>46230.75</v>
      </c>
      <c r="T18" s="2" t="inlineStr">
        <is>
          <t>CAJA DE COMPENSACION</t>
        </is>
      </c>
      <c r="U18" s="2" t="inlineStr">
        <is>
          <t>-</t>
        </is>
      </c>
      <c r="V18" s="2" t="inlineStr">
        <is>
          <t>17/07/2026 14:53</t>
        </is>
      </c>
    </row>
    <row r="19">
      <c r="A19" s="2" t="inlineStr">
        <is>
          <t>🟢</t>
        </is>
      </c>
      <c r="B19" s="3" t="str">
        <f>HYPERLINK("https://compensar-smartit.onbmc.com/smartit/app/#/workorder/IDGIBMZTENYZ6AT8I271T8I2715V35","WO0000000308271")</f>
        <v>WO0000000308271</v>
      </c>
      <c r="C19" s="2" t="inlineStr">
        <is>
          <t>No</t>
        </is>
      </c>
      <c r="D19" s="2" t="inlineStr">
        <is>
          <t>Configuracion de pad de firmas</t>
        </is>
      </c>
      <c r="E19" s="2" t="inlineStr">
        <is>
          <t>Pendiente</t>
        </is>
      </c>
      <c r="F19" s="2" t="inlineStr">
        <is>
          <t>Usuario         : Isabel Vallejo Lagos
CC              : 52546266
Tel             : 3115465201
Informa         : La colaboradora reporta solicitud de configuración del pad de firmas. Se requiere validación del dispositivo y gestión correspondiente para realizar la configuración y garantizar su correcto funcionamiento.
Ubicación       : Autopista Sur, Piso 1, Consultorio 110
Tiempo          : 1:55 p. m. 15/07/2026
Impacto         : 1
Evidencias      :
                  1. Solicitud de configuración del pad de firmas reportada por la colaboradora luego de que intslaran este nuevo dispositivo.</t>
        </is>
      </c>
      <c r="G19" s="2" t="inlineStr">
        <is>
          <t>SERVICIOS DE TECNOLOGIA-APLICACIONES DE NEGOCIO-PARAMETRIZACION APP</t>
        </is>
      </c>
      <c r="H19" s="2" t="inlineStr">
        <is>
          <t>Telefono</t>
        </is>
      </c>
      <c r="I19" s="2" t="inlineStr">
        <is>
          <t>Baja</t>
        </is>
      </c>
      <c r="J19" s="5">
        <v>46218.58194444444</v>
      </c>
      <c r="K19" s="2" t="inlineStr">
        <is>
          <t>MICHAEL STEVEN FRAILE GOMEZ</t>
        </is>
      </c>
      <c r="L19" s="2" t="inlineStr">
        <is>
          <t>SPT ZONA SURORIENTE</t>
        </is>
      </c>
      <c r="M19" s="2" t="inlineStr">
        <is>
          <t>SERVICIOS DE TI</t>
        </is>
      </c>
      <c r="N19" s="2"/>
      <c r="O19" s="2" t="inlineStr">
        <is>
          <t>SALUD</t>
        </is>
      </c>
      <c r="P19" s="2"/>
      <c r="Q19" s="2" t="inlineStr">
        <is>
          <t>IDGIBMZTENYZ6AT8I271T8I2715V35</t>
        </is>
      </c>
      <c r="R19" s="2" t="inlineStr">
        <is>
          <t>b) 5-10</t>
        </is>
      </c>
      <c r="S19" s="4">
        <v>46224.75</v>
      </c>
      <c r="T19" s="2"/>
      <c r="U19" s="2" t="inlineStr">
        <is>
          <t>-</t>
        </is>
      </c>
      <c r="V19" s="2" t="inlineStr">
        <is>
          <t>21/07/2026 14:00</t>
        </is>
      </c>
    </row>
    <row r="20">
      <c r="A20" s="2" t="inlineStr">
        <is>
          <t>🟢</t>
        </is>
      </c>
      <c r="B20" s="3" t="str">
        <f>HYPERLINK("https://compensar-smartit.onbmc.com/smartit/app/#/workorder/IDGGSWY0I24JCAT8I0NLT8I0NLTB6Y","WO0000000308306")</f>
        <v>WO0000000308306</v>
      </c>
      <c r="C20" s="2" t="inlineStr">
        <is>
          <t>No</t>
        </is>
      </c>
      <c r="D20" s="2" t="inlineStr">
        <is>
          <t>Validación de configuración de la aplicación CX posterior al cambio de equipo</t>
        </is>
      </c>
      <c r="E20" s="2" t="inlineStr">
        <is>
          <t>En curso</t>
        </is>
      </c>
      <c r="F20" s="2" t="inlineStr">
        <is>
          <t>Usuario: La usuaria YURY MARIBEL SANCHEZ MOYANO se comunica con la mesa de servicio para notificar que, después del cambio de equipo realizado el 7 de julio, presenta inconvenientes con la aplicación CX.
Informa: La usuaria informa que, tras el cambio de equipo realizado el 7 de julio, la aplicación CX permite el inicio de sesión, pero no es posible acceder a sus funcionalidades. Se valida la novedad y se evidencia que el aplicativo presenta una configuración incorrecta.
Ubicación: Movilidad.
Tiempo: 1:07 p. m. 15/07/2026.
Impacto:
Placa de equipo: C023680.
Evidencias:
1. Se validó la novedad reportada por la usuaria.
2. Se evidenció que el aplicativo CX presenta una configuración incorrecta.
3. Se indicó a la usuaria que debe llevar el equipo a sitio utilizando el mismo caso con el que se realizó el cambio de equipo el 7 de julio, para efectuar la corrección correspondiente.</t>
        </is>
      </c>
      <c r="G20" s="2" t="inlineStr">
        <is>
          <t>SERVICIOS DE TECNOLOGIA-SOPORTE EQUIPOS DE COMPUTO-INSTALACION Y CONFIGURACION DE PERIFERICOS ADAP ALIMENTACION</t>
        </is>
      </c>
      <c r="H20" s="2" t="inlineStr">
        <is>
          <t>Telefono</t>
        </is>
      </c>
      <c r="I20" s="2" t="inlineStr">
        <is>
          <t>Baja</t>
        </is>
      </c>
      <c r="J20" s="5">
        <v>46218.55416666667</v>
      </c>
      <c r="K20" s="2" t="inlineStr">
        <is>
          <t>DANIEL ALEJANDRO BORDA MESTIZO</t>
        </is>
      </c>
      <c r="L20" s="2" t="inlineStr">
        <is>
          <t>ZONA CENTRO</t>
        </is>
      </c>
      <c r="M20" s="2" t="inlineStr">
        <is>
          <t>SERVICIOS DE TI</t>
        </is>
      </c>
      <c r="N20" s="2"/>
      <c r="O20" s="2" t="inlineStr">
        <is>
          <t>CENTRO DE SERVICIOS COMPARTIDOS</t>
        </is>
      </c>
      <c r="P20" s="2"/>
      <c r="Q20" s="2" t="inlineStr">
        <is>
          <t>IDGGSWY0I24JCAT8I0NLT8I0NLTB6Y</t>
        </is>
      </c>
      <c r="R20" s="2" t="inlineStr">
        <is>
          <t>b) 5-10</t>
        </is>
      </c>
      <c r="S20" s="4"/>
      <c r="T20" s="2"/>
      <c r="U20" s="2" t="inlineStr">
        <is>
          <t>-</t>
        </is>
      </c>
      <c r="V20" s="2" t="inlineStr">
        <is>
          <t>23/07/2026 16:42</t>
        </is>
      </c>
    </row>
    <row r="21">
      <c r="A21" s="2" t="inlineStr">
        <is>
          <t>🟢</t>
        </is>
      </c>
      <c r="B21" s="3" t="str">
        <f>HYPERLINK("https://compensar-smartit.onbmc.com/smartit/app/#/workorder/IDGGSWY0I24JCAT8I41AT8I41AXQDV","WO0000000308327")</f>
        <v>WO0000000308327</v>
      </c>
      <c r="C21" s="2" t="inlineStr">
        <is>
          <t>No</t>
        </is>
      </c>
      <c r="D21" s="2" t="inlineStr">
        <is>
          <t>Error de correo al momento de autocompletar búsqueda</t>
        </is>
      </c>
      <c r="E21" s="2" t="inlineStr">
        <is>
          <t>En curso</t>
        </is>
      </c>
      <c r="F21" s="2" t="inlineStr">
        <is>
          <t>Usuario: LIVER PAOLA HERNANDEZ PARRA
CC: 1022346042 
Teléfono: 3102860326 
Informa: Error de correo al momento de autocompletar búsqueda 
Ubicación: cra 68 torre f piso 2
Tiempo: 2:22 p. m. 15/07/2026
Impacto: 1</t>
        </is>
      </c>
      <c r="G21" s="2" t="inlineStr">
        <is>
          <t>SERVICIOS DE TECNOLOGIA-PLATAFORMA TI-OFFICE 365 CONFIGURACIONES Y GENERALES DE BUZONES</t>
        </is>
      </c>
      <c r="H21" s="2" t="inlineStr">
        <is>
          <t>Telefono</t>
        </is>
      </c>
      <c r="I21" s="2" t="inlineStr">
        <is>
          <t>Baja</t>
        </is>
      </c>
      <c r="J21" s="5">
        <v>46218.611805555556</v>
      </c>
      <c r="K21" s="2" t="inlineStr">
        <is>
          <t>DANIEL ALEJANDRO BORDA MESTIZO</t>
        </is>
      </c>
      <c r="L21" s="2" t="inlineStr">
        <is>
          <t>ZONA CENTRO</t>
        </is>
      </c>
      <c r="M21" s="2" t="inlineStr">
        <is>
          <t>SERVICIOS DE TI</t>
        </is>
      </c>
      <c r="N21" s="2"/>
      <c r="O21" s="2" t="inlineStr">
        <is>
          <t>BIENESTAR Y DESARROLLO SOCIAL</t>
        </is>
      </c>
      <c r="P21" s="2"/>
      <c r="Q21" s="2" t="inlineStr">
        <is>
          <t>IDGGSWY0I24JCAT8I41AT8I41AXQDV</t>
        </is>
      </c>
      <c r="R21" s="2" t="inlineStr">
        <is>
          <t>b) 5-10</t>
        </is>
      </c>
      <c r="S21" s="4"/>
      <c r="T21" s="2"/>
      <c r="U21" s="2" t="inlineStr">
        <is>
          <t>-</t>
        </is>
      </c>
      <c r="V21" s="2" t="inlineStr">
        <is>
          <t>22/07/2026 14:41</t>
        </is>
      </c>
    </row>
    <row r="22">
      <c r="A22" s="2" t="inlineStr">
        <is>
          <t>🟢</t>
        </is>
      </c>
      <c r="B22" s="3" t="str">
        <f>HYPERLINK("https://compensar-smartit.onbmc.com/smartit/app/#/workorder/AGGIBMZTENYZ6AT8I5OET8I5OEKCHY","WO0000000308420")</f>
        <v>WO0000000308420</v>
      </c>
      <c r="C22" s="2" t="inlineStr">
        <is>
          <t>No</t>
        </is>
      </c>
      <c r="D22" s="2" t="inlineStr">
        <is>
          <t>Gestión Soporte Ricoh</t>
        </is>
      </c>
      <c r="E22" s="2" t="inlineStr">
        <is>
          <t>Pendiente</t>
        </is>
      </c>
      <c r="F22" s="2" t="inlineStr">
        <is>
          <t>Ubicación para atención del Servicio: ACUEDUCTO PISO 1 ADMINISTRACION
Número de contacto para la atención del servicio: 3195404762
Frente: BIENESTAR Y DESARROLLO SOCIAL
Tipo de Servicio: CONFIGURACION DE IMPRESORA/ESCANER
Título: Solicitud
Descripción: Solicitud configuración impresora y escáner equipo nuevo
Serial: C023745
Activo: IMPRESORA MULTIFUNCIONAL
</t>
        </is>
      </c>
      <c r="G22" s="2" t="inlineStr">
        <is>
          <t>SERVICIOS DE TECNOLOGIA-SERVICIOS DE IMPRESION/ESCANER-CONFIGURACION DE IMPRESORA/ESCANER</t>
        </is>
      </c>
      <c r="H22" s="2" t="inlineStr">
        <is>
          <t>Web</t>
        </is>
      </c>
      <c r="I22" s="2" t="inlineStr">
        <is>
          <t>Baja</t>
        </is>
      </c>
      <c r="J22" s="5">
        <v>46218.626388888886</v>
      </c>
      <c r="K22" s="2" t="inlineStr">
        <is>
          <t>KEVIN ALEXIS GARCIA GUARACA</t>
        </is>
      </c>
      <c r="L22" s="2" t="inlineStr">
        <is>
          <t>ZONA CENTRO</t>
        </is>
      </c>
      <c r="M22" s="2" t="inlineStr">
        <is>
          <t>SERVICIOS DE TI</t>
        </is>
      </c>
      <c r="N22" s="2"/>
      <c r="O22" s="2" t="inlineStr">
        <is>
          <t>BIENESTAR Y DESARROLLO SOCIAL</t>
        </is>
      </c>
      <c r="P22" s="2"/>
      <c r="Q22" s="2" t="inlineStr">
        <is>
          <t>AGGIBMZTENYZ6AT8I5OET8I5OEKCHY</t>
        </is>
      </c>
      <c r="R22" s="2" t="inlineStr">
        <is>
          <t>b) 5-10</t>
        </is>
      </c>
      <c r="S22" s="4">
        <v>46224.75</v>
      </c>
      <c r="T22" s="2" t="inlineStr">
        <is>
          <t>CAJA DE COMPENSACION</t>
        </is>
      </c>
      <c r="U22" s="2" t="inlineStr">
        <is>
          <t>-</t>
        </is>
      </c>
      <c r="V22" s="2" t="inlineStr">
        <is>
          <t>21/07/2026 08:02</t>
        </is>
      </c>
    </row>
    <row r="23">
      <c r="A23" s="2" t="inlineStr">
        <is>
          <t>🟢</t>
        </is>
      </c>
      <c r="B23" s="3" t="str">
        <f>HYPERLINK("https://compensar-smartit.onbmc.com/smartit/app/#/workorder/AGGIBMZTENYZ6AT8I7QFT8I7QFM7O4","WO0000000308443")</f>
        <v>WO0000000308443</v>
      </c>
      <c r="C23" s="2" t="inlineStr">
        <is>
          <t>No</t>
        </is>
      </c>
      <c r="D23" s="2" t="inlineStr">
        <is>
          <t>Asesoría, Acompañamiento, Actividades en Sitio y Entrega de Informes</t>
        </is>
      </c>
      <c r="E23" s="2" t="inlineStr">
        <is>
          <t>Pendiente</t>
        </is>
      </c>
      <c r="F23" s="2" t="inlineStr">
        <is>
          <t>Ubicación para atención del Servicio: CRA 69 B TORRE B PISO 4 SALA SIN ASIGNAR
Número de contacto para la atención del servicio: 3107940266
Frente: SALUD
Titulo: Acompañamiento en apoyo permiso administrador
Descripción: Se necesita el acompañamiento el día 24 de julio 2-3 pm. en la instalación de aplicación masiva de ROCHE a colaboradores del proceso de laboratorio clínico.
Es necesario que quien acompañe tenga permisos de administrador, agradecemos por favor se asigne al ingeniero: IVAN FELIPE GARCIA MANRIQUE.
Se comparte link de sesión:  https://teams.microsoft.com/meet/21820047572150?p=N5I2U3YozE5tewPvmv
Tipo de Servicio: EJECUCION DE ACTIVIDADES EN SITIO
Subcategoría: EJECUCION DE ACTIVIDADES
Grupo Requerido: SPT CABECERA CARRERA 69
Fecha requerida para la actividad: 2026-07-24
Duración de la actividad en minutos: 2
Adjunto: [AGGGSWY0I24JCAT8I7N3T8I7N3CE4R]
</t>
        </is>
      </c>
      <c r="G23" s="2" t="inlineStr">
        <is>
          <t>SERVICIOS DE TECNOLOGIA-ACOMPANAMIENTO-EJECUCION DE ACTIVIDADES EN SITIO</t>
        </is>
      </c>
      <c r="H23" s="2" t="inlineStr">
        <is>
          <t>Web</t>
        </is>
      </c>
      <c r="I23" s="2" t="inlineStr">
        <is>
          <t>Baja</t>
        </is>
      </c>
      <c r="J23" s="5">
        <v>46218.65694444445</v>
      </c>
      <c r="K23" s="2" t="inlineStr">
        <is>
          <t>IVAN FELIPE GARCIA MANRIQUE</t>
        </is>
      </c>
      <c r="L23" s="2" t="inlineStr">
        <is>
          <t>SPT CABECERA CARRERA 69</t>
        </is>
      </c>
      <c r="M23" s="2" t="inlineStr">
        <is>
          <t>SERVICIOS DE TI</t>
        </is>
      </c>
      <c r="N23" s="2"/>
      <c r="O23" s="2" t="inlineStr">
        <is>
          <t>SALUD</t>
        </is>
      </c>
      <c r="P23" s="2"/>
      <c r="Q23" s="2" t="inlineStr">
        <is>
          <t>AGGIBMZTENYZ6AT8I7QFT8I7QFM7O4</t>
        </is>
      </c>
      <c r="R23" s="2" t="inlineStr">
        <is>
          <t>b) 5-10</t>
        </is>
      </c>
      <c r="S23" s="4">
        <v>46227.708333333336</v>
      </c>
      <c r="T23" s="2" t="inlineStr">
        <is>
          <t>SALUD</t>
        </is>
      </c>
      <c r="U23" s="2" t="inlineStr">
        <is>
          <t>-</t>
        </is>
      </c>
      <c r="V23" s="2" t="inlineStr">
        <is>
          <t>21/07/2026 16:31</t>
        </is>
      </c>
    </row>
    <row r="24">
      <c r="A24" s="2" t="inlineStr">
        <is>
          <t>🟢</t>
        </is>
      </c>
      <c r="B24" s="3" t="str">
        <f>HYPERLINK("https://compensar-smartit.onbmc.com/smartit/app/#/workorder/AGGGSWY0I24JCAT8JYLTT8JYLTEPTZ","WO0000000308722")</f>
        <v>WO0000000308722</v>
      </c>
      <c r="C24" s="2" t="inlineStr">
        <is>
          <t>No</t>
        </is>
      </c>
      <c r="D24" s="2" t="inlineStr">
        <is>
          <t>Servicios Generales de Redes</t>
        </is>
      </c>
      <c r="E24" s="2" t="inlineStr">
        <is>
          <t>Asignado</t>
        </is>
      </c>
      <c r="F24" s="2" t="inlineStr">
        <is>
          <t>Ubicación para atención del Servicio: ACUEDUCTO PISO 1 ADMINISTRACION
Número de contacto para la atención del servicio: 3184964973
Frente: SALUD
Titulo: CAIDA DE RED
Tipo de Servicio: MONITOREO DESEMPENO Y/O CUBRIMIENTO RED
Descripción: SE SOLICITA REVISIÓN DE RED Y REPETIDORES YA QUE NO FUNCIONAN LOS APLICATIVOS EN SU TOTALIDAD, NO SE PUEDEN TENER REUNIONES, OBTENER DATOS DEL CORREO, TEAMS, SAP, AL INGRESAR A LA SEDE SE PIERDE LA SEÑAL DE LOS CELULARES Y AL SALIR TOMA NORMAL
Información Importante: SI
Adjunto: [AGGIBMZTENYZ6AT8JYLOT8JYLO9U9V]
</t>
        </is>
      </c>
      <c r="G24" s="2" t="inlineStr">
        <is>
          <t>SERVICIOS DE TECNOLOGIA-REDES-MONITOREO DESEMPENO Y/O CUBRIMIENTO RED</t>
        </is>
      </c>
      <c r="H24" s="2" t="inlineStr">
        <is>
          <t>Web</t>
        </is>
      </c>
      <c r="I24" s="2" t="inlineStr">
        <is>
          <t>Media</t>
        </is>
      </c>
      <c r="J24" s="5">
        <v>46219.450694444444</v>
      </c>
      <c r="K24" s="2" t="inlineStr">
        <is>
          <t>SANTIAGO PERDOMO ACERO</t>
        </is>
      </c>
      <c r="L24" s="2" t="inlineStr">
        <is>
          <t>ZONA CENTRO</t>
        </is>
      </c>
      <c r="M24" s="2" t="inlineStr">
        <is>
          <t>SERVICIOS DE TI</t>
        </is>
      </c>
      <c r="N24" s="2"/>
      <c r="O24" s="2" t="inlineStr">
        <is>
          <t>SALUD</t>
        </is>
      </c>
      <c r="P24" s="2"/>
      <c r="Q24" s="2" t="inlineStr">
        <is>
          <t>AGGGSWY0I24JCAT8JYLTT8JYLTEPTZ</t>
        </is>
      </c>
      <c r="R24" s="2" t="inlineStr">
        <is>
          <t>a) 0-4</t>
        </is>
      </c>
      <c r="S24" s="4"/>
      <c r="T24" s="2" t="inlineStr">
        <is>
          <t>SALUD</t>
        </is>
      </c>
      <c r="U24" s="2" t="inlineStr">
        <is>
          <t>-</t>
        </is>
      </c>
      <c r="V24" s="2" t="inlineStr">
        <is>
          <t>27/07/2026 14:43</t>
        </is>
      </c>
    </row>
    <row r="25">
      <c r="A25" s="2" t="inlineStr">
        <is>
          <t>🟠</t>
        </is>
      </c>
      <c r="B25" s="3" t="str">
        <f>HYPERLINK("https://compensar-smartit.onbmc.com/smartit/app/#/workorder/AGGGSWY0I24JCAT8JYMBT8JYMBEQG0","WO0000000308723")</f>
        <v>WO0000000308723</v>
      </c>
      <c r="C25" s="2" t="inlineStr">
        <is>
          <t>No</t>
        </is>
      </c>
      <c r="D25" s="2" t="inlineStr">
        <is>
          <t>Asesoría, Acompañamiento, Actividades en Sitio y Entrega de Informes</t>
        </is>
      </c>
      <c r="E25" s="2" t="inlineStr">
        <is>
          <t>En curso</t>
        </is>
      </c>
      <c r="F25" s="2" t="inlineStr">
        <is>
          <t>Ubicación para atención del Servicio: SUBA INTEGRAL TORRE A PISO 1 MODULOS AUTOSERVICIO
Número de contacto para la atención del servicio: 13925
Frente: CORPORATIVO
Titulo: CRQ000000020128 - SESIONES TEAMS 21 AL 29 JULIO 10PM- PRUEBAS SERVICIOS POR AJUSTES MEJORAS SDWAN SUBA, CSDE, CLL220, CRA60, LAGOMAR, LAGOSOL
Descripción: Cordial Saludo Ingenieros Jairo, Gerson e Ingenieros Sonda
Informamos que los días martes 21, miércoles 22, jueves 23, lunes 27, martes 28, y miércoles 29 de julio desde las 10:00pm bajo el cambio CRQ000000020128 por parte del proveedor CLARO se realizara ajustes en el servicio SDWAN de sedes de SUBA INTEGRAL, SEDE EMPRESARIAL CSDE, CALLE 220, CARRERA60, LAGOMAR, LAGOSOL para mejorar la disponibilidad y balanceo del tráfico, por lo cual agradecemos su ayuda en apoyarnos en programar los recursos de Seguridad Electrónica, Plataforma TI, Soporte en sitio o remoto de Sonda y soporte Telefonía para probar los servicios o elementos de configuración que ustedes tenga a cargo bajo su administración en estas sedes, la idea es que el recurso de Sonda, Plataforma TI, Seguridad Electrónica y telefonía que ustedes puedan asignar pueda ingresar a la sesión de TEAMS y pueda ir revisando los servicios que ustedes administran una vez que el proveedor CLARO haya ejecutado la mejora en el SDWAN: Estas pruebas están aprobadas por el cambio solicitado por el ingeniero Mauricio Patalagua # CRQ000000020128
1.	El recurso de Sonda se requiere en sitio o de manera remota en las sesiones de TEAMS y que pueda estar conectado a la red Wifi Corporativa o por red cableada a algún PC de la sede, el recurso se requiere para las pruebas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en donde deberá realizar pruebas de accesos a las diferentes aplicaciones que usan los usuarios como Office, TEAMS, Intranet, Portico, Onbase, sisfam, Andrómeda, digiturno, SAP, CRM, Kactus, entre otros.
2.	El recurso de Plataforma TI se requiere en las sesiones de TEAMS para revisar el estado de sus servicios que tienen en las Sedes como por ejemplo controladores de Dominio, servicios DHCP, entre otros. el recurso se requiere para las pruebas de servicios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3.	El recurso de Seguridad electrónica se requiere en las sesiónes de TEAMS para revisar el estado de sus servicios que tienen en las sedes como por ejemplo Camaras de Seguridad, DRV ente otras, el recurso se requiere para las pruebas de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4.	El recurso de Telefonia se requiere en las sesiones de TEAMS para revisar el estado de sus servicios que tienen en sede CALLE 94 como por ejemplo telefonía IP, entre otros, el recurso se requiere para probar los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Las actividades de mejora de SD-WAN de CLARO se harán en las siguientes fechas:
21/07/2026 10pm – FW1_COMPENSAR_CLL139_CMP0620 SUBA
22/07/2026 10pm – FW-SEDE_EMPRESARIAL_CMP0032
23/07/2026 10pm – FW1-COMPENSAR-CMP0027-CALLE220
27/07/2026 10pm – FW-COMPENSAR-BOG-CRA60
28/07/2026 10pm – FW-COMPENSAR-LAGOMAR-PP
29/07/2026 10pm – FW-COMPENSAR-LAGOSOL
El enlace de las sesiónes de TEAMS programadas por el proveedor CLARO desde el 21 de julio hasta el 29 de julio es el siguiente agradecemos su asistencia a todos los equipos de Compensar y CLARO a estas sesiones de TEAMS desde las 10pm:
https://teams.microsoft.com/l/meetup-join/19%3ameeting_M2U5YTI1OTgtM2E4Ni00YWJiLWE4NjMtYWEyMjlmMDExYjQy%40thread.v2/0?context=%7b%22Tid%22%3a%2246bb22b8-4c2c-40ff-8360-7b6334821279%22%2c%22Oid%22%3a%22a96058e2-f5a2-4074-bb38-43d9ebe2be12%22%7d
Tipo de Servicio: ACOMPAÑAMIENTO / EJECUCION DE ACTIVIDAD EN SITIO
Grupo Requerido: ZONA NORTE
Fecha requerida para la actividad: 2026-07-21
Duración de la actividad en minutos: 180
Adjunto: [AGGGSWY0I24JCAT8JYL1T8JYL1EPAE]
</t>
        </is>
      </c>
      <c r="G25" s="2" t="inlineStr">
        <is>
          <t>SERVICIOS DE TECNOLOGIA-ASESORIA/ACOMPANAMIENTO/ACTIVIDADES-ACOMPAÑAMIENTO / EJECUCION DE ACTIVIDAD EN SITIO</t>
        </is>
      </c>
      <c r="H25" s="2" t="inlineStr">
        <is>
          <t>Web</t>
        </is>
      </c>
      <c r="I25" s="2" t="inlineStr">
        <is>
          <t>Baja</t>
        </is>
      </c>
      <c r="J25" s="5">
        <v>46219.450694444444</v>
      </c>
      <c r="K25" s="2" t="inlineStr">
        <is>
          <t>EDWIN ALEXIS PATIÑO TEJEDOR</t>
        </is>
      </c>
      <c r="L25" s="2" t="inlineStr">
        <is>
          <t>ZONA NORTE</t>
        </is>
      </c>
      <c r="M25" s="2" t="inlineStr">
        <is>
          <t>SERVICIOS DE TI</t>
        </is>
      </c>
      <c r="N25" s="2"/>
      <c r="O25" s="2" t="inlineStr">
        <is>
          <t>CORPORATIVO</t>
        </is>
      </c>
      <c r="P25" s="2"/>
      <c r="Q25" s="2" t="inlineStr">
        <is>
          <t>AGGGSWY0I24JCAT8JYMBT8JYMBEQG0</t>
        </is>
      </c>
      <c r="R25" s="2" t="inlineStr">
        <is>
          <t>a) 0-4</t>
        </is>
      </c>
      <c r="S25" s="4"/>
      <c r="T25" s="2"/>
      <c r="U25" s="2" t="inlineStr">
        <is>
          <t>-</t>
        </is>
      </c>
      <c r="V25" s="2" t="inlineStr">
        <is>
          <t>21/07/2026 12:49</t>
        </is>
      </c>
    </row>
    <row r="26">
      <c r="A26" s="2" t="inlineStr">
        <is>
          <t>🟠</t>
        </is>
      </c>
      <c r="B26" s="3" t="str">
        <f>HYPERLINK("https://compensar-smartit.onbmc.com/smartit/app/#/workorder/AGGIBMZTENYZ6AT8JZCMT8JZCMK78M","WO0000000308808")</f>
        <v>WO0000000308808</v>
      </c>
      <c r="C26" s="2" t="inlineStr">
        <is>
          <t>No</t>
        </is>
      </c>
      <c r="D26" s="2" t="inlineStr">
        <is>
          <t>10 AM Asesoría, Acompañamiento, Actividades en Sitio y Entrega de Informes</t>
        </is>
      </c>
      <c r="E26" s="2" t="inlineStr">
        <is>
          <t>En curso</t>
        </is>
      </c>
      <c r="F26" s="2" t="inlineStr">
        <is>
          <t>Ubicación para atención del Servicio: CUR PISO 0 BODEGA PIE PARQUEADERO 1ER NIVEL
Número de contacto para la atención del servicio: 3232379822
Frente: BIENESTAR Y DESARROLLO SOCIAL
Titulo: Acompañamiento Atencion   - Incidente INC000000148763 - Error en el ODBC
Descripción: Se solicita acompañamiento para configuración ODBC equipo de WMS-RED, Incidente INC000000148763 - Error en el ODBC, se genera sesión por teams para el dia 17 de Julio a las 10 am, para coordinar cambio con BD y soporte
Tipo de Servicio: ACOMPAÑAMIENTO / EJECUCION DE ACTIVIDAD EN SITIO
Grupo Requerido: ULAS WMS RED
Fecha requerida para la actividad: 2026-07-17
Duración de la actividad en minutos: 1 Hora
</t>
        </is>
      </c>
      <c r="G26" s="2" t="inlineStr">
        <is>
          <t>SERVICIOS DE TECNOLOGIA-ASESORIA/ACOMPANAMIENTO/ACTIVIDADES-ACOMPAÑAMIENTO / EJECUCION DE ACTIVIDAD EN SITIO</t>
        </is>
      </c>
      <c r="H26" s="2" t="inlineStr">
        <is>
          <t>Web</t>
        </is>
      </c>
      <c r="I26" s="2" t="inlineStr">
        <is>
          <t>Baja</t>
        </is>
      </c>
      <c r="J26" s="5">
        <v>46219.45763888889</v>
      </c>
      <c r="K26" s="2" t="inlineStr">
        <is>
          <t>GERLYN RENTERIA OROZCO</t>
        </is>
      </c>
      <c r="L26" s="2" t="inlineStr">
        <is>
          <t>ZONA CENTRO</t>
        </is>
      </c>
      <c r="M26" s="2" t="inlineStr">
        <is>
          <t>SERVICIOS DE TI</t>
        </is>
      </c>
      <c r="N26" s="2"/>
      <c r="O26" s="2" t="inlineStr">
        <is>
          <t>BIENESTAR Y DESARROLLO SOCIAL</t>
        </is>
      </c>
      <c r="P26" s="2"/>
      <c r="Q26" s="2" t="inlineStr">
        <is>
          <t>AGGIBMZTENYZ6AT8JZCMT8JZCMK78M</t>
        </is>
      </c>
      <c r="R26" s="2" t="inlineStr">
        <is>
          <t>a) 0-4</t>
        </is>
      </c>
      <c r="S26" s="4"/>
      <c r="T26" s="2" t="inlineStr">
        <is>
          <t>CAJA DE COMPENSACION</t>
        </is>
      </c>
      <c r="U26" s="2" t="inlineStr">
        <is>
          <t>-</t>
        </is>
      </c>
      <c r="V26" s="2" t="inlineStr">
        <is>
          <t>21/07/2026 12:59</t>
        </is>
      </c>
    </row>
    <row r="27">
      <c r="A27" s="2" t="inlineStr">
        <is>
          <t>🟢</t>
        </is>
      </c>
      <c r="B27" s="3" t="str">
        <f>HYPERLINK("https://compensar-smartit.onbmc.com/smartit/app/#/workorder/IDGGSWY0I24JCAT802MQT802MQQOYU","WO0000000308952")</f>
        <v>WO0000000308952</v>
      </c>
      <c r="C27" s="2" t="inlineStr">
        <is>
          <t>No</t>
        </is>
      </c>
      <c r="D27" s="2" t="inlineStr">
        <is>
          <t>Solicitud de entrega de cargador - WO0000000302058</t>
        </is>
      </c>
      <c r="E27" s="2" t="inlineStr">
        <is>
          <t>En curso</t>
        </is>
      </c>
      <c r="F27" s="2" t="inlineStr">
        <is>
          <t>Usuario: JOSE GIOVANNY ALFONSO FUENTES
Informa: El usuario se comunica con la Mesa de Servicio indicando que el cargador enviado por partes y garantias no ha sido entregado. Manifiesta que existen dos órdenes de trabajo en las que no fue posible realizar la entrega porque se encontraba de vacaciones. Adicionalmente, informa que en la última orden de trabajo se registró la entrega como realizada; sin embargo, el usuario indica que únicamente fue contactado para consultar el lugar donde debía entregarse el cargador y que el elemento no ha sido recibido. Se solicita coordinar la entrega del cargador con el usuario.
Ubicación: Movilidad
Tiempo: 15:55 16/7/2026
Impacto: Usuarios afectados 1
Placa de equipo: No especificada
Evidencias:
1. Se recibió la solicitud de entrega del cargador.
2. Se relacionó la WO0000000295920, correspondiente al envío por Partes y Garantías.
3. Se validó la WO0000000295854, en la cual no fue posible realizar la entrega debido a que el usuario se encontraba de vacaciones.
4. Se revisó la WO0000000302058, en la que se registra la entrega del cargador como realizada.
5. El usuario manifestó que el cargador no ha sido entregado y que únicamente fue contactado para confirmar el lugar de entrega.
6. Se solicita coordinar la entrega del cargador con el usuario.</t>
        </is>
      </c>
      <c r="G27" s="2" t="inlineStr">
        <is>
          <t>SERVICIOS DE TECNOLOGIA-ACOMPANAMIENTO-EJECUCION DE ACTIVIDADES EN SITIO</t>
        </is>
      </c>
      <c r="H27" s="2" t="inlineStr">
        <is>
          <t>Telefono</t>
        </is>
      </c>
      <c r="I27" s="2" t="inlineStr">
        <is>
          <t>Baja</t>
        </is>
      </c>
      <c r="J27" s="5">
        <v>46219.665972222225</v>
      </c>
      <c r="K27" s="2" t="inlineStr">
        <is>
          <t>NICK STEVE TRIANA LOPEZ</t>
        </is>
      </c>
      <c r="L27" s="2" t="inlineStr">
        <is>
          <t>ZONA OCCIDENTE</t>
        </is>
      </c>
      <c r="M27" s="2" t="inlineStr">
        <is>
          <t>SERVICIOS DE TI</t>
        </is>
      </c>
      <c r="N27" s="2"/>
      <c r="O27" s="2" t="inlineStr">
        <is>
          <t>BIENESTAR Y DESARROLLO SOCIAL</t>
        </is>
      </c>
      <c r="P27" s="2"/>
      <c r="Q27" s="2" t="inlineStr">
        <is>
          <t>IDGGSWY0I24JCAT802MQT802MQQOYU</t>
        </is>
      </c>
      <c r="R27" s="2" t="inlineStr">
        <is>
          <t>a) 0-4</t>
        </is>
      </c>
      <c r="S27" s="4"/>
      <c r="T27" s="2"/>
      <c r="U27" s="2" t="inlineStr">
        <is>
          <t>-</t>
        </is>
      </c>
      <c r="V27" s="2" t="inlineStr">
        <is>
          <t>22/07/2026 08:59</t>
        </is>
      </c>
    </row>
    <row r="28">
      <c r="A28" s="2" t="inlineStr">
        <is>
          <t>🟢</t>
        </is>
      </c>
      <c r="B28" s="3" t="str">
        <f>HYPERLINK("https://compensar-smartit.onbmc.com/smartit/app/#/workorder/AGGGSWY0I24JCAT8030DT8030DRS6R","WO0000000308961")</f>
        <v>WO0000000308961</v>
      </c>
      <c r="C28" s="2" t="inlineStr">
        <is>
          <t>No</t>
        </is>
      </c>
      <c r="D28" s="2" t="inlineStr">
        <is>
          <t>Aplicación de Usuario Final</t>
        </is>
      </c>
      <c r="E28" s="2" t="inlineStr">
        <is>
          <t>Asignado</t>
        </is>
      </c>
      <c r="F28" s="2" t="inlineStr">
        <is>
          <t>Ubicación para atención del Servicio: C69 TORRE A PISO 1 BIEN IMPRODUCTIVO
Número de contacto para la atención del servicio: 3143138534
Frente: CLIENTES
Titulo: ACOMPAÑAMIENTO SPT VIERNES 17/07/2026 2 PM  CONFIGURACIÓN DE CAJERO RECICLADOR SUBIR A DOMINIO DE CAJA COMPENSAR.CCF
Descripción: Buena tarde
Equipo SPT CARRERA 69
Solicitamos su valioso acompañamiento Presencial para mañana  VIERNES 17/07/2026 2 PM a las con el objetivo de configurar CAJERO RECICLADOR de sede CARRERA 69 dado que van a HACER CAMBIO DE IMAGEN:
Actividades: 
• SUBIR A DOMINIO DE CAJA COMPENSAR.CCF LA MAQUINA CRA69MAQ02
*CONFIGURAR RED MANUAL CON IMAGEN ADJUNTA Ip 172.28.96.118
Mascara: 255.255.255.248
GW: 172.28.96.114
• Ejecutar IP CONFIG ALL Validando que la IP ESTE CORRECTA 172.28.96.118
Paul Rodriguez Mondragon CUR - 69  CEL 3017624546
Julio Pedraza CUR - 69  CEL 3178941269
Por favor comunicarse con Profe Funcional: Maryoris Ramos Gomez 3143138534
Gracias por su apoyo y atención,
Tipo de Servicio: PARAMETRIZAR Y O CONFIGURAR APLICACION
Aplicación: SWEX55-MODULOSAUTOSERVICIOS
</t>
        </is>
      </c>
      <c r="G28" s="2" t="inlineStr">
        <is>
          <t>SERVICIOS DE TECNOLOGIA-GESTION DE APLICACIONES-PARAMETRIZAR Y O CONFIGURAR APLICACION</t>
        </is>
      </c>
      <c r="H28" s="2" t="inlineStr">
        <is>
          <t>Web</t>
        </is>
      </c>
      <c r="I28" s="2" t="inlineStr">
        <is>
          <t>Baja</t>
        </is>
      </c>
      <c r="J28" s="5">
        <v>46219.67083333333</v>
      </c>
      <c r="K28" s="2" t="inlineStr">
        <is>
          <t>FABIAN JESSID PASTRANA AGUIRRE</t>
        </is>
      </c>
      <c r="L28" s="2" t="inlineStr">
        <is>
          <t>SPT CABECERA CARRERA 69</t>
        </is>
      </c>
      <c r="M28" s="2" t="inlineStr">
        <is>
          <t>SERVICIOS DE TI</t>
        </is>
      </c>
      <c r="N28" s="2"/>
      <c r="O28" s="2" t="inlineStr">
        <is>
          <t>CLIENTES</t>
        </is>
      </c>
      <c r="P28" s="2"/>
      <c r="Q28" s="2" t="inlineStr">
        <is>
          <t>AGGGSWY0I24JCAT8030DT8030DRS6R</t>
        </is>
      </c>
      <c r="R28" s="2" t="inlineStr">
        <is>
          <t>a) 0-4</t>
        </is>
      </c>
      <c r="S28" s="4"/>
      <c r="T28" s="2" t="inlineStr">
        <is>
          <t>CAJA DE COMPENSACION</t>
        </is>
      </c>
      <c r="U28" s="2" t="inlineStr">
        <is>
          <t>-</t>
        </is>
      </c>
      <c r="V28" s="2" t="inlineStr">
        <is>
          <t>23/07/2026 14:40</t>
        </is>
      </c>
    </row>
    <row r="29">
      <c r="A29" s="2" t="inlineStr">
        <is>
          <t>🟢</t>
        </is>
      </c>
      <c r="B29" s="3" t="str">
        <f>HYPERLINK("https://compensar-smartit.onbmc.com/smartit/app/#/workorder/IDGGSWY0I24JCAT803TDT803TDS8S6","WO0000000308965")</f>
        <v>WO0000000308965</v>
      </c>
      <c r="C29" s="2" t="inlineStr">
        <is>
          <t>No</t>
        </is>
      </c>
      <c r="D29" s="2" t="inlineStr">
        <is>
          <t>Instalación de DISCO DURO activo C002030 sede CALLE 134 - WO0000000307673</t>
        </is>
      </c>
      <c r="E29" s="2" t="inlineStr">
        <is>
          <t>En curso</t>
        </is>
      </c>
      <c r="F29" s="2" t="inlineStr">
        <is>
          <t>Saludos	
Apreciado, reciba un cordial saludo, se aprobó por parte del ADMIN de activos el cambio, bodega enviará y gestionará la logística de despacho de la parte solicitada, por favor realizar entrega e instalación de: DISCO DURO En la sede CALLE 134 PISO 11 CONSULTORIO 15, equipo HEWLETT PACKARD HP PRODESK 400 G3 Con placa C002030, usuaria/o responsable JUAN MANUEL ROZO CASAS. En atención al caso WO0000000307673.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29" s="2" t="inlineStr">
        <is>
          <t>SERVICIOS DE TECNOLOGIA-ASESORIA/ACOMPANAMIENTO/ACTIVIDADES-EJECUCION DE ACTIVIDADES EN SITIO</t>
        </is>
      </c>
      <c r="H29" s="2" t="inlineStr">
        <is>
          <t>Web</t>
        </is>
      </c>
      <c r="I29" s="2" t="inlineStr">
        <is>
          <t>Baja</t>
        </is>
      </c>
      <c r="J29" s="5">
        <v>46219.67916666667</v>
      </c>
      <c r="K29" s="2" t="inlineStr">
        <is>
          <t>EDWIN ALEXIS PATIÑO TEJEDOR</t>
        </is>
      </c>
      <c r="L29" s="2" t="inlineStr">
        <is>
          <t>SPT ZONA NORTE</t>
        </is>
      </c>
      <c r="M29" s="2" t="inlineStr">
        <is>
          <t>SERVICIOS DE TI</t>
        </is>
      </c>
      <c r="N29" s="2"/>
      <c r="O29" s="2" t="inlineStr">
        <is>
          <t>SALUD</t>
        </is>
      </c>
      <c r="P29" s="2"/>
      <c r="Q29" s="2" t="inlineStr">
        <is>
          <t>IDGGSWY0I24JCAT803TDT803TDS8S6</t>
        </is>
      </c>
      <c r="R29" s="2" t="inlineStr">
        <is>
          <t>a) 0-4</t>
        </is>
      </c>
      <c r="S29" s="4"/>
      <c r="T29" s="2"/>
      <c r="U29" s="2" t="inlineStr">
        <is>
          <t>-</t>
        </is>
      </c>
      <c r="V29" s="2" t="inlineStr">
        <is>
          <t>22/07/2026 16:18</t>
        </is>
      </c>
    </row>
    <row r="30">
      <c r="A30" s="2" t="inlineStr">
        <is>
          <t>🟢</t>
        </is>
      </c>
      <c r="B30" s="3" t="str">
        <f>HYPERLINK("https://compensar-smartit.onbmc.com/smartit/app/#/workorder/IDGGSWY0I24JCAT807COT807COWPKZ","WO0000000308986")</f>
        <v>WO0000000308986</v>
      </c>
      <c r="C30" s="2" t="inlineStr">
        <is>
          <t>No</t>
        </is>
      </c>
      <c r="D30" s="2" t="inlineStr">
        <is>
          <t>Falla novedad con la red de la sede</t>
        </is>
      </c>
      <c r="E30" s="2" t="inlineStr">
        <is>
          <t>En curso</t>
        </is>
      </c>
      <c r="F30" s="2" t="inlineStr">
        <is>
          <t>Usuari@:Jorge Mario Herrera Lozano
Informa: El usuario se comunica indicando que presenta falla novedad con la red presenta intermitencia 
Ubicación:US C26 TORRE B PISO 0 TALLER METROLOGIA
Tiempo:11:07 a. m. 15/07/2026
Impacto: Usuarios afectados:2
Se procede a validar el ingreso de la pagina y no se tiene acceso a la pagina cuando se conecta a la red CORPORATIVA  y tiene la VPN global,
al desconectar de la red CORPORATIVA y se conectan datos del celular pueden ingresar a la pagina.</t>
        </is>
      </c>
      <c r="G30" s="2" t="inlineStr">
        <is>
          <t>SERVICIOS DE TECNOLOGIA-REDES-GENERAR INFORMES</t>
        </is>
      </c>
      <c r="H30" s="2" t="inlineStr">
        <is>
          <t>Web</t>
        </is>
      </c>
      <c r="I30" s="2" t="inlineStr">
        <is>
          <t>Baja</t>
        </is>
      </c>
      <c r="J30" s="5">
        <v>46219.73263888889</v>
      </c>
      <c r="K30" s="2" t="inlineStr">
        <is>
          <t>DANIEL CAMILO BARRERO GALINDO</t>
        </is>
      </c>
      <c r="L30" s="2" t="inlineStr">
        <is>
          <t>SPT CABECERA CALLE 26</t>
        </is>
      </c>
      <c r="M30" s="2" t="inlineStr">
        <is>
          <t>SERVICIOS DE TI</t>
        </is>
      </c>
      <c r="N30" s="2"/>
      <c r="O30" s="2" t="inlineStr">
        <is>
          <t>BIENESTAR Y DESARROLLO SOCIAL</t>
        </is>
      </c>
      <c r="P30" s="2"/>
      <c r="Q30" s="2" t="inlineStr">
        <is>
          <t>IDGGSWY0I24JCAT807COT807COWPKZ</t>
        </is>
      </c>
      <c r="R30" s="2" t="inlineStr">
        <is>
          <t>a) 0-4</t>
        </is>
      </c>
      <c r="S30" s="4"/>
      <c r="T30" s="2"/>
      <c r="U30" s="2" t="inlineStr">
        <is>
          <t>-</t>
        </is>
      </c>
      <c r="V30" s="2" t="inlineStr">
        <is>
          <t>23/07/2026 09:42</t>
        </is>
      </c>
    </row>
    <row r="31">
      <c r="A31" s="2" t="inlineStr">
        <is>
          <t>🟢</t>
        </is>
      </c>
      <c r="B31" s="3" t="str">
        <f>HYPERLINK("https://compensar-smartit.onbmc.com/smartit/app/#/workorder/AGGIBMZTENYZ6AT805I0T805I0G49E","WO0000000309051")</f>
        <v>WO0000000309051</v>
      </c>
      <c r="C31" s="2" t="inlineStr">
        <is>
          <t>No</t>
        </is>
      </c>
      <c r="D31" s="2" t="inlineStr">
        <is>
          <t>Asesoría, Acompañamiento, Actividades en Sitio y Entrega de Informes</t>
        </is>
      </c>
      <c r="E31" s="2" t="inlineStr">
        <is>
          <t>En curso</t>
        </is>
      </c>
      <c r="F31" s="2" t="inlineStr">
        <is>
          <t>Ubicación para atención del Servicio: TELETRABAJO ESCRITORIO VIRTUAL
Número de contacto para la atención del servicio: 3195179420
Frente: SALUD
Titulo: Solicitud de soporte en sitio
Descripción: Buen día agradezco de su ayuda con un acompañamiento en sitio para apoyar la actividad el día martes 21 de julio 2026, sede Clinica de la Mujer, a las 11;00 am, ya que se realizara validación, configuración, para programar de los glucometros.
Ubicación: Clínica de a Mujer Laboratorio sótano
Dirección: Cra 19c Nª 91-17 Bogotá - Colombia
Fecha hora: Martes 21/07/2026, 'de' 11:00 AM a 12:00 PM
Contacto en sitio: Paula Novoa 3202807901 / Solanyi Camargo 3016382685
Contacto en sitio proveedor: Jonathan Barahona 3226990417
Sesion de teams:
Impresión de Etiquetas desde los PC C. de la Mujer
Mar 21/07/2026, 'de' 11:00 AM a 12:00 PM
________________________________________________________________________________
Reunión de Microsoft Teams
Unirse: https://teams.microsoft.com/meet/252277164430408?p=AHCc8O5cCArbhkVH5l
Id. de reunión: 252 277 164 430 408
Código de acceso: Ci9vL2zV
¿Necesita ayuda? | Referencia del sistema
Para organizadores: Opciones de la reunión
________________________________________________________________________________
-Configuración de parámetros de red (dirección IP y DNS).
-Validación de conectividad y navegación.
Gracias
Tipo de Servicio: ACOMPAÑAMIENTO / EJECUCION DE ACTIVIDAD EN SITIO
Grupo Requerido: ASEGURADORES TECNOLOGICOS
Fecha requerida para la actividad: 2026-07-21
Duración de la actividad en minutos: 120
</t>
        </is>
      </c>
      <c r="G31" s="2" t="inlineStr">
        <is>
          <t>SERVICIOS DE TECNOLOGIA-ASESORIA/ACOMPANAMIENTO/ACTIVIDADES-ACOMPAÑAMIENTO / EJECUCION DE ACTIVIDAD EN SITIO</t>
        </is>
      </c>
      <c r="H31" s="2" t="inlineStr">
        <is>
          <t>Web</t>
        </is>
      </c>
      <c r="I31" s="2" t="inlineStr">
        <is>
          <t>Baja</t>
        </is>
      </c>
      <c r="J31" s="5">
        <v>46219.7</v>
      </c>
      <c r="K31" s="2" t="inlineStr">
        <is>
          <t>EDWIN ALEXIS PATIÑO TEJEDOR</t>
        </is>
      </c>
      <c r="L31" s="2" t="inlineStr">
        <is>
          <t>SPT ZONA NORTE</t>
        </is>
      </c>
      <c r="M31" s="2" t="inlineStr">
        <is>
          <t>SERVICIOS DE TI</t>
        </is>
      </c>
      <c r="N31" s="2"/>
      <c r="O31" s="2" t="inlineStr">
        <is>
          <t>SALUD</t>
        </is>
      </c>
      <c r="P31" s="2"/>
      <c r="Q31" s="2" t="inlineStr">
        <is>
          <t>AGGIBMZTENYZ6AT805I0T805I0G49E</t>
        </is>
      </c>
      <c r="R31" s="2" t="inlineStr">
        <is>
          <t>a) 0-4</t>
        </is>
      </c>
      <c r="S31" s="4"/>
      <c r="T31" s="2" t="inlineStr">
        <is>
          <t>CAJA DE COMPENSACION</t>
        </is>
      </c>
      <c r="U31" s="2" t="inlineStr">
        <is>
          <t>-</t>
        </is>
      </c>
      <c r="V31" s="2" t="inlineStr">
        <is>
          <t>23/07/2026 08:00</t>
        </is>
      </c>
    </row>
    <row r="32">
      <c r="A32" s="2" t="inlineStr">
        <is>
          <t>🟢</t>
        </is>
      </c>
      <c r="B32" s="3" t="str">
        <f>HYPERLINK("https://compensar-smartit.onbmc.com/smartit/app/#/workorder/IDGGSWY0I24JCAT80T8OT80T8OCQ3N","WO0000000309101")</f>
        <v>WO0000000309101</v>
      </c>
      <c r="C32" s="2" t="inlineStr">
        <is>
          <t>No</t>
        </is>
      </c>
      <c r="D32" s="2" t="inlineStr">
        <is>
          <t>Envio/instalación KIT ALAMBRICO TECLADO - MOUSE DELL ALL IN ONE 7470 XCTO activo 910500003273</t>
        </is>
      </c>
      <c r="E32" s="2" t="inlineStr">
        <is>
          <t>En curso</t>
        </is>
      </c>
      <c r="F32" s="2" t="inlineStr">
        <is>
          <t>Se realiza la validación en sitio y se observa que el activo C003682 presenta fallas en el teclado; algunas teclas dejan de responder o se quedan pegadas. Además, el clic derecho del mouse presenta fallas, lo que afecta la eficiencia del funcionario. Se adjuntan las evidencias e información del equipo.</t>
        </is>
      </c>
      <c r="G32" s="2" t="inlineStr">
        <is>
          <t>SERVICIOS DE TECNOLOGIA-ACTIVOS FIJOS TECNOLOGIA-ADQUISICION PARTES SIN GARANTIA</t>
        </is>
      </c>
      <c r="H32" s="2" t="inlineStr">
        <is>
          <t>Web</t>
        </is>
      </c>
      <c r="I32" s="2" t="inlineStr">
        <is>
          <t>Baja</t>
        </is>
      </c>
      <c r="J32" s="5">
        <v>46219.915972222225</v>
      </c>
      <c r="K32" s="2" t="inlineStr">
        <is>
          <t>JEFFERSON ESCOBAR ALDANA</t>
        </is>
      </c>
      <c r="L32" s="2" t="inlineStr">
        <is>
          <t>ZONA SURORIENTE</t>
        </is>
      </c>
      <c r="M32" s="2" t="inlineStr">
        <is>
          <t>SERVICIOS DE TI</t>
        </is>
      </c>
      <c r="N32" s="2"/>
      <c r="O32" s="2" t="inlineStr">
        <is>
          <t>BIENESTAR Y DESARROLLO SOCIAL</t>
        </is>
      </c>
      <c r="P32" s="2"/>
      <c r="Q32" s="2" t="inlineStr">
        <is>
          <t>IDGGSWY0I24JCAT80T8OT80T8OCQ3N</t>
        </is>
      </c>
      <c r="R32" s="2" t="inlineStr">
        <is>
          <t>a) 0-4</t>
        </is>
      </c>
      <c r="S32" s="4"/>
      <c r="T32" s="2"/>
      <c r="U32" s="2" t="inlineStr">
        <is>
          <t>-</t>
        </is>
      </c>
      <c r="V32" s="2" t="inlineStr">
        <is>
          <t>19/08/2026 08:00</t>
        </is>
      </c>
    </row>
    <row r="33">
      <c r="A33" s="2" t="inlineStr">
        <is>
          <t>🟢</t>
        </is>
      </c>
      <c r="B33" s="3" t="str">
        <f>HYPERLINK("https://compensar-smartit.onbmc.com/smartit/app/#/workorder/IDGGSWY0I24JCAT81M9DT81M9D1V06","WO0000000309139")</f>
        <v>WO0000000309139</v>
      </c>
      <c r="C33" s="2" t="inlineStr">
        <is>
          <t>No</t>
        </is>
      </c>
      <c r="D33" s="2" t="inlineStr">
        <is>
          <t>Continuación caso: ID de petición 665754</t>
        </is>
      </c>
      <c r="E33" s="2" t="inlineStr">
        <is>
          <t>En curso</t>
        </is>
      </c>
      <c r="F33" s="2" t="inlineStr">
        <is>
          <t>Usuaria: Doris Patricia Perez Jaimes
Informa: ""Solicitamos la instalación de VPN pero estaba en vacaciones y me llamaron pero no pude atender la llamada. Me dicen que ya tengo usuario para conectarme pero no tengo la aplicación.""
Ubicación: Movilidad
Tiempo: 8am
Impacto: 1Usuario
Evidencias: No aplica</t>
        </is>
      </c>
      <c r="G33" s="2" t="inlineStr">
        <is>
          <t>SERVICIOS DE TECNOLOGIA-GESTION DE APLICACIONES-INSTALAR DESINSTALAR APLICACION</t>
        </is>
      </c>
      <c r="H33" s="2" t="inlineStr">
        <is>
          <t>Chat</t>
        </is>
      </c>
      <c r="I33" s="2" t="inlineStr">
        <is>
          <t>Baja</t>
        </is>
      </c>
      <c r="J33" s="5">
        <v>46220.353472222225</v>
      </c>
      <c r="K33" s="2" t="inlineStr">
        <is>
          <t>NICK STEVE TRIANA LOPEZ</t>
        </is>
      </c>
      <c r="L33" s="2" t="inlineStr">
        <is>
          <t>SPT ZONA OCCIDENTE</t>
        </is>
      </c>
      <c r="M33" s="2" t="inlineStr">
        <is>
          <t>SERVICIOS DE TI</t>
        </is>
      </c>
      <c r="N33" s="2"/>
      <c r="O33" s="2" t="inlineStr">
        <is>
          <t>SALUD</t>
        </is>
      </c>
      <c r="P33" s="2"/>
      <c r="Q33" s="2" t="inlineStr">
        <is>
          <t>IDGGSWY0I24JCAT81M9DT81M9D1V06</t>
        </is>
      </c>
      <c r="R33" s="2" t="inlineStr">
        <is>
          <t>a) 0-4</t>
        </is>
      </c>
      <c r="S33" s="4"/>
      <c r="T33" s="2"/>
      <c r="U33" s="2" t="inlineStr">
        <is>
          <t>-</t>
        </is>
      </c>
      <c r="V33" s="2" t="inlineStr">
        <is>
          <t>23/07/2026 08:41</t>
        </is>
      </c>
    </row>
    <row r="34">
      <c r="A34" s="2" t="inlineStr">
        <is>
          <t>🟢</t>
        </is>
      </c>
      <c r="B34" s="3" t="str">
        <f>HYPERLINK("https://compensar-smartit.onbmc.com/smartit/app/#/workorder/AGGGSWY0I24JCAT81OYZT81OYZ5U2O","WO0000000309162")</f>
        <v>WO0000000309162</v>
      </c>
      <c r="C34" s="2" t="inlineStr">
        <is>
          <t>No</t>
        </is>
      </c>
      <c r="D34" s="2" t="inlineStr">
        <is>
          <t>Asesoría, Acompañamiento, Actividades en Sitio y Entrega de Informes</t>
        </is>
      </c>
      <c r="E34" s="2" t="inlineStr">
        <is>
          <t>En curso</t>
        </is>
      </c>
      <c r="F34" s="2" t="inlineStr">
        <is>
          <t>Ubicación para atención del Servicio: CRA 69 TORRE A PISO 4 ARRENDAMIENTO DE PISO A CAPITAL SALUD
Número de contacto para la atención del servicio: 13925
Frente: CORPORATIVO
Titulo: RE: INC000000152568 Falla de conectividad a Internet por intermitencia CR69 TORRE A miercoles 22 de julio 11am
Descripción: Cordial saludo Deisy, Jairo, Gerson, equipo seguridad TI, equipo Plataforma TI
Según la disponibilidad de la usuaria Deisy Paola, se programó la siguiente sesión de TEAMS para que entre los equipos de Soporte en sitio Sonda, Equipo de Seguridad TI, equipo de Plataforma TI y equipo de redes podamos revisar en conjunto y en tiempo real el comportamiento del Portátil y perfil de navegación del usuario hacia los servicios de Office, TEAMS, sharepoint, Outlook. El link de la sesion es el siguiente:
Miércoles 22 de julio a las 11am
https://teams.microsoft.com/meet/392563064825687?p=OE1xdhUQxArlMPUIfJ
@Jairo Espinosa, Gerson (Equipo servicios Compensar y Sonda), Se requiere nos ayuden en asignar recursos de Sonda al sitio de trabajo del Usuario de Deisy Paola para revisar en la sesión de Teams cuál es el estado de las actualizaciones de Hardware del Portátil (Driver´s), estado de las actualizaciones de Windows del Portátil del Usuario, estado de los parámetros de configuración de la tarjeta de red Wifi del Portátil del Usuario 802.1x (Revisar si el equipo esta o no esta en el dominio de Compensar), revisar que servicios de windows tiene activados el portátil del usuario, Revisar estado de la VPN de Global, estado del antivirus.
@Equipo Seguridad IT, y Equipo Plataformas TI (Compensar), Se requiere revisar el perfil de navegación que tiene el usuario (Que permisos de navegación tiene el usuario), revisar cuales GPO se les aplica al Portátil o al usuario, revisar en cual Unidad organizaciones está el portátil del Usuario, revisar el estado del server DHCP 192.168.186.23 relacionado con el pool DHCP 192.168.236.0/23, revisar en el Firewall cual es el comportamiento del tráfico de usuario y en cuales permisos o políticas de navegación cae el usuario, revisar el comportamiento de la VPN Global en el portátil del Usuario y como está configurada y si se logra evidenciar en el Firewall tráfico, revisar en el antivirus si se presenta alguna novedad hacia los servicios de navegación de Internet como office, teams, sharepoint, Outlook, etc, revisar estado de la conexión wifi del usuario.
@Equipo Redes y CLARO (Compensar), desde el equipo de redes revisaremos de nuevo la red Wifi, sin embargo ya hemos revisado en varias ocasiones el estado de la conexión wifi en la sede y se evidencia normalidad en la conexión Wifi, lo que se evidencia es que en ocasiones el usuario pierde conexión hacia los servicios de Office, sharepoint, correo, Teams, por lo cual se aclara que el servicio de navegación de internet desde la sede donde se conecta el usuario no maneja Internet Directo sino que todo el tráfico sale por la MPLS y llega a datacenter TRIARA y luego llega al Firewall Palo Alto quien según políticas de seguridad y reglas permite la salida a Internet, desde el equipo de redes ya hemos realizado informes y monitoreo de la red de la sede y no se han evidenciado saturaciones, ni perdidas de paquetes, ni caídas de ninguno de los enlaces MPLS y tampoco hemos observado desde que se hizo el ajuste del SSID Corporativo hacia el SSID Corporativa Caja ninguna desconexión de la red wifi, por lo cual el incidente lo estamos percibiendo por desconexiones hacia los servicios de navegación de internet puntualmente Office, TEAMS, Sharepoint, Outlook, pero no por temas de desconexión de la red que son 2 cosas diferentes.
Tipo de Servicio: ACOMPAÑAMIENTO / EJECUCION DE ACTIVIDAD EN SITIO
Grupo Requerido: ZONA NORTE
Fecha requerida para la actividad: 2026-07-22
Duración de la actividad en minutos: 180
Adjunto: [AGGIBMZTENYZ6AT81OWST81OWSOU3F]
</t>
        </is>
      </c>
      <c r="G34" s="2" t="inlineStr">
        <is>
          <t>SERVICIOS DE TECNOLOGIA-ASESORIA/ACOMPANAMIENTO/ACTIVIDADES-ACOMPAÑAMIENTO / EJECUCION DE ACTIVIDAD EN SITIO</t>
        </is>
      </c>
      <c r="H34" s="2" t="inlineStr">
        <is>
          <t>Web</t>
        </is>
      </c>
      <c r="I34" s="2" t="inlineStr">
        <is>
          <t>Baja</t>
        </is>
      </c>
      <c r="J34" s="5">
        <v>46220.38611111111</v>
      </c>
      <c r="K34" s="2" t="inlineStr">
        <is>
          <t>JUAN CAMILO RINCON BLANCO</t>
        </is>
      </c>
      <c r="L34" s="2" t="inlineStr">
        <is>
          <t>SPT CABECERA CARRERA 69</t>
        </is>
      </c>
      <c r="M34" s="2" t="inlineStr">
        <is>
          <t>SERVICIOS DE TI</t>
        </is>
      </c>
      <c r="N34" s="2"/>
      <c r="O34" s="2" t="inlineStr">
        <is>
          <t>CORPORATIVO</t>
        </is>
      </c>
      <c r="P34" s="2"/>
      <c r="Q34" s="2" t="inlineStr">
        <is>
          <t>AGGGSWY0I24JCAT81OYZT81OYZ5U2O</t>
        </is>
      </c>
      <c r="R34" s="2" t="inlineStr">
        <is>
          <t>a) 0-4</t>
        </is>
      </c>
      <c r="S34" s="4"/>
      <c r="T34" s="2" t="inlineStr">
        <is>
          <t>CAJA DE COMPENSACION</t>
        </is>
      </c>
      <c r="U34" s="2" t="inlineStr">
        <is>
          <t>-</t>
        </is>
      </c>
      <c r="V34" s="2" t="inlineStr">
        <is>
          <t>24/07/2026 08:00</t>
        </is>
      </c>
    </row>
    <row r="35">
      <c r="A35" s="2" t="inlineStr">
        <is>
          <t>🟢</t>
        </is>
      </c>
      <c r="B35" s="3" t="str">
        <f>HYPERLINK("https://compensar-smartit.onbmc.com/smartit/app/#/workorder/AGGIBMZTENYZ6AT81T6KT81T6KU8LP","WO0000000309281")</f>
        <v>WO0000000309281</v>
      </c>
      <c r="C35" s="2" t="inlineStr">
        <is>
          <t>No</t>
        </is>
      </c>
      <c r="D35" s="2" t="inlineStr">
        <is>
          <t>Asesoría, Acompañamiento, Actividades en Sitio y Entrega de Informes</t>
        </is>
      </c>
      <c r="E35" s="2" t="inlineStr">
        <is>
          <t>En curso</t>
        </is>
      </c>
      <c r="F35" s="2" t="inlineStr">
        <is>
          <t>Ubicación para atención del Servicio: CSDE TORRE A PISO 2 AREA COMUN
Número de contacto para la atención del servicio: 3044305307
Frente: CORPORATIVO
Titulo: VALIDACION ACTIVO C000178
Descripción: Buen día:
Informamos desde seguridad informática que el día de ayer 16/07/2026 se vió instalado el sensor de falcon al equipo C000178, sin embargo, minutos después fue eliminado utilizando métodos de fuerza bruta por el usuario "adm", lo que generó 40 alarmas de criticidad alta.
Agradecemos confirmar el motivo del evento, confirmar quien usó el usuario "adm" con privilegios de administrador y garantizar la instalación del sensor de falcon.
Gracias.
Tipo de Servicio: ACOMPAÑAMIENTO / EJECUCION DE ACTIVIDAD EN SITIO
Grupo Requerido: SPT ZONA CENTRO
Fecha requerida para la actividad: 2026-07-17
Duración de la actividad en minutos: 60
</t>
        </is>
      </c>
      <c r="G35" s="2" t="inlineStr">
        <is>
          <t>SERVICIOS DE TECNOLOGIA-ASESORIA/ACOMPANAMIENTO/ACTIVIDADES-ACOMPAÑAMIENTO / EJECUCION DE ACTIVIDAD EN SITIO</t>
        </is>
      </c>
      <c r="H35" s="2" t="inlineStr">
        <is>
          <t>Web</t>
        </is>
      </c>
      <c r="I35" s="2" t="inlineStr">
        <is>
          <t>Baja</t>
        </is>
      </c>
      <c r="J35" s="5">
        <v>46220.45347222222</v>
      </c>
      <c r="K35" s="2" t="inlineStr">
        <is>
          <t>DILAN SAMIR LOPEZ ARAUJO</t>
        </is>
      </c>
      <c r="L35" s="2" t="inlineStr">
        <is>
          <t>ZONA CENTRO</t>
        </is>
      </c>
      <c r="M35" s="2" t="inlineStr">
        <is>
          <t>SERVICIOS DE TI</t>
        </is>
      </c>
      <c r="N35" s="2"/>
      <c r="O35" s="2" t="inlineStr">
        <is>
          <t>CORPORATIVO</t>
        </is>
      </c>
      <c r="P35" s="2"/>
      <c r="Q35" s="2" t="inlineStr">
        <is>
          <t>AGGIBMZTENYZ6AT81T6KT81T6KU8LP</t>
        </is>
      </c>
      <c r="R35" s="2" t="inlineStr">
        <is>
          <t>a) 0-4</t>
        </is>
      </c>
      <c r="S35" s="4"/>
      <c r="T35" s="2" t="inlineStr">
        <is>
          <t>CAJA DE COMPENSACION</t>
        </is>
      </c>
      <c r="U35" s="2" t="inlineStr">
        <is>
          <t>-</t>
        </is>
      </c>
      <c r="V35" s="2" t="inlineStr">
        <is>
          <t>22/07/2026 12:53</t>
        </is>
      </c>
    </row>
    <row r="36">
      <c r="A36" s="2" t="inlineStr">
        <is>
          <t>🟢</t>
        </is>
      </c>
      <c r="B36" s="3" t="str">
        <f>HYPERLINK("https://compensar-smartit.onbmc.com/smartit/app/#/workorder/AGGGSWY0I24JCAT81TIYT81TIYMTRB","WO0000000309411")</f>
        <v>WO0000000309411</v>
      </c>
      <c r="C36" s="2" t="inlineStr">
        <is>
          <t>No</t>
        </is>
      </c>
      <c r="D36" s="2" t="inlineStr">
        <is>
          <t>Aplicación de Usuario Final</t>
        </is>
      </c>
      <c r="E36" s="2" t="inlineStr">
        <is>
          <t>Asignado</t>
        </is>
      </c>
      <c r="F36" s="2" t="inlineStr">
        <is>
          <t>Ubicación para atención del Servicio: CSDE TORRE B PISO 4 GERENCIA RIESGO CORPORATIVO
Número de contacto para la atención del servicio: 1234
Frente: CLIENTES
Titulo: Evento de Seguridad (Successful Login After Brute Force) EV02529-M07-A26 Usuario lamespinosac
Descripción: Cordial saludo,
Su apoyo solicitando realizar el cambio inmediato y forzado de contraseña de la cuenta corporativa lamespinosac@compensar.com, así como el cierre de todas las sesiones activas, debido a un evento de seguridad tipo Successful Login After Brute Force detectado en la plataforma.
Se registró un alto volumen de autenticaciones fallidas desde múltiples direcciones IP y países distintos (Estados Unidos, Francia, España, Brasil, Canadá, Marruecos, Noruega, Suecia, India, Corea del Sur, Países Bajos, Alemania, Suiza, entre otros), patrón característico de un ataque de fuerza bruta.
- Agradecemos contactar a la usuario, apoyarla con la desvinculación de contraseñas almacenadas en navegadores restauración del mismo puede ser uno de los factores del comportamiento - EQUIPO y CELULAR.
- Apoyo para configurar la aplicación Microsoft de autenticación MFA sea la predeterminadamente
- Cierre de todas las sesiones en todos los dispositivos que vinculen la cuenta corporativa.
Credenciales almacenadas o desactualizadas
Eliminar credenciales antiguas desde el Administrador de credenciales de Windows.
Cerrar sesión y volver a iniciar sesión en Outlook, Teams, OneDrive y Office.
Forzar una nueva autenticación de Microsoft 365.
Verificar que la contraseña guardada en aplicaciones móviles sea la correcta.
Navegador
Cerrar todas las sesiones de Microsoft 365.
Borrar cookies y caché.
Eliminar sesiones persistentes de Office 365.
Probar autenticación desde navegador InPrivate/Incógnito.
Dispositivos móviles
Revisar Outlook Mobile.
Revisar cliente de correo nativo Android/iPhone.
Eliminar y volver a agregar la cuenta corporativa.
Revisar tablets o dispositivos antiguos que puedan estar intentando autenticar con una contraseña obsoleta.
Su apoyo con cada una de las validaciones debido a que el comportamiento es recurrente. Gracias
Tipo de Servicio: PARAMETRIZAR Y O CONFIGURAR APLICACION
Aplicación: INTERNET
</t>
        </is>
      </c>
      <c r="G36" s="2" t="inlineStr">
        <is>
          <t>SERVICIOS DE TECNOLOGIA-GESTION DE APLICACIONES-PARAMETRIZAR Y O CONFIGURAR APLICACION</t>
        </is>
      </c>
      <c r="H36" s="2" t="inlineStr">
        <is>
          <t>Web</t>
        </is>
      </c>
      <c r="I36" s="2" t="inlineStr">
        <is>
          <t>Baja</t>
        </is>
      </c>
      <c r="J36" s="5">
        <v>46220.45</v>
      </c>
      <c r="K36" s="2" t="inlineStr">
        <is>
          <t>ANDERSON JULIAN RATIVA RAMIREZ</t>
        </is>
      </c>
      <c r="L36" s="2" t="inlineStr">
        <is>
          <t>ZONA CENTRO</t>
        </is>
      </c>
      <c r="M36" s="2" t="inlineStr">
        <is>
          <t>SERVICIOS DE TI</t>
        </is>
      </c>
      <c r="N36" s="2"/>
      <c r="O36" s="2" t="inlineStr">
        <is>
          <t>CLIENTES</t>
        </is>
      </c>
      <c r="P36" s="2"/>
      <c r="Q36" s="2" t="inlineStr">
        <is>
          <t>AGGGSWY0I24JCAT81TIYT81TIYMTRB</t>
        </is>
      </c>
      <c r="R36" s="2" t="inlineStr">
        <is>
          <t>a) 0-4</t>
        </is>
      </c>
      <c r="S36" s="4"/>
      <c r="T36" s="2" t="inlineStr">
        <is>
          <t>CAJA DE COMPENSACION</t>
        </is>
      </c>
      <c r="U36" s="2" t="inlineStr">
        <is>
          <t>-</t>
        </is>
      </c>
      <c r="V36" s="2" t="inlineStr">
        <is>
          <t>23/07/2026 10:48</t>
        </is>
      </c>
    </row>
    <row r="37">
      <c r="A37" s="2" t="inlineStr">
        <is>
          <t>🟢</t>
        </is>
      </c>
      <c r="B37" s="3" t="str">
        <f>HYPERLINK("https://compensar-smartit.onbmc.com/smartit/app/#/workorder/AGGGSWY0I24JCAT81TK4T81TK4N00L","WO0000000309413")</f>
        <v>WO0000000309413</v>
      </c>
      <c r="C37" s="2" t="inlineStr">
        <is>
          <t>No</t>
        </is>
      </c>
      <c r="D37" s="2" t="inlineStr">
        <is>
          <t>Aplicación de Usuario Final</t>
        </is>
      </c>
      <c r="E37" s="2" t="inlineStr">
        <is>
          <t>Asignado</t>
        </is>
      </c>
      <c r="F37" s="2" t="inlineStr">
        <is>
          <t>Ubicación para atención del Servicio: CSDE TORRE B PISO 4 GERENCIA RIESGO CORPORATIVO
Número de contacto para la atención del servicio: 1234
Frente: CLIENTES
Titulo: Successful Login After Brute Force - EV02547-M07-A26 magaravitos
Descripción: Cordial saludo,
Se realizaron validaciones sobre los registros de autenticación de la cuenta magaravitos@compensar.com, evidenciando múltiples intentos fallidos de inicio de sesión desde diferentes ubicaciones geográficas e IPs externas. Intentos automatizados de validación de credenciales (password spraying/credential stuffing) que fueron bloqueados por los controles de Microsoft Entra ID.
- Agradecemos contactar a la usuaria, apoyarla con la desvinculación de contraseñas almacenadas en navegadores restauración del mismo puede ser uno de los factores del comportamiento - EQUIPO y CELULAR.
- Apoyo para configurar la aplicación Microsoft de autenticación MFA sea la predeterminadamente
- Cierre de todas las sesiones en todos los dispositivos que vinculen la cuenta corporativa.
Credenciales almacenadas o desactualizadas
Eliminar credenciales antiguas desde el Administrador de credenciales de Windows.
Cerrar sesión y volver a iniciar sesión en Outlook, Teams, OneDrive y Office.
Forzar una nueva autenticación de Microsoft 365.
Verificar que la contraseña guardada en aplicaciones móviles sea la correcta.
Navegador
Cerrar todas las sesiones de Microsoft 365.
Borrar cookies y caché.
Eliminar sesiones persistentes de Office 365.
Probar autenticación desde navegador InPrivate/Incógnito.
Dispositivos móviles
Revisar Outlook Mobile.
Revisar cliente de correo nativo Android/iPhone.
Eliminar y volver a agregar la cuenta corporativa.
Revisar tablets o dispositivos antiguos que puedan estar intentando autenticar con una contraseña obsoleta.
Su apoyo con cada una de las validaciones debido a que el comportamiento es recurrente.
Tipo de Servicio: PARAMETRIZAR Y O CONFIGURAR APLICACION
Aplicación: INTERNET
</t>
        </is>
      </c>
      <c r="G37" s="2" t="inlineStr">
        <is>
          <t>SERVICIOS DE TECNOLOGIA-GESTION DE APLICACIONES-PARAMETRIZAR Y O CONFIGURAR APLICACION</t>
        </is>
      </c>
      <c r="H37" s="2" t="inlineStr">
        <is>
          <t>Web</t>
        </is>
      </c>
      <c r="I37" s="2" t="inlineStr">
        <is>
          <t>Baja</t>
        </is>
      </c>
      <c r="J37" s="5">
        <v>46220.45486111111</v>
      </c>
      <c r="K37" s="2" t="inlineStr">
        <is>
          <t>ANDERSON JULIAN RATIVA RAMIREZ</t>
        </is>
      </c>
      <c r="L37" s="2" t="inlineStr">
        <is>
          <t>ZONA CENTRO</t>
        </is>
      </c>
      <c r="M37" s="2" t="inlineStr">
        <is>
          <t>SERVICIOS DE TI</t>
        </is>
      </c>
      <c r="N37" s="2"/>
      <c r="O37" s="2" t="inlineStr">
        <is>
          <t>CLIENTES</t>
        </is>
      </c>
      <c r="P37" s="2"/>
      <c r="Q37" s="2" t="inlineStr">
        <is>
          <t>AGGGSWY0I24JCAT81TK4T81TK4N00L</t>
        </is>
      </c>
      <c r="R37" s="2" t="inlineStr">
        <is>
          <t>a) 0-4</t>
        </is>
      </c>
      <c r="S37" s="4"/>
      <c r="T37" s="2" t="inlineStr">
        <is>
          <t>CAJA DE COMPENSACION</t>
        </is>
      </c>
      <c r="U37" s="2" t="inlineStr">
        <is>
          <t>-</t>
        </is>
      </c>
      <c r="V37" s="2" t="inlineStr">
        <is>
          <t>23/07/2026 10:55</t>
        </is>
      </c>
    </row>
    <row r="38">
      <c r="A38" s="2" t="inlineStr">
        <is>
          <t>🟢</t>
        </is>
      </c>
      <c r="B38" s="3" t="str">
        <f>HYPERLINK("https://compensar-smartit.onbmc.com/smartit/app/#/workorder/AGGGSWY0I24JCAT81UIUT81UIUO3BS","WO0000000309422")</f>
        <v>WO0000000309422</v>
      </c>
      <c r="C38" s="2" t="inlineStr">
        <is>
          <t>No</t>
        </is>
      </c>
      <c r="D38" s="2" t="inlineStr">
        <is>
          <t>Aplicación de Usuario Final</t>
        </is>
      </c>
      <c r="E38" s="2" t="inlineStr">
        <is>
          <t>En curso</t>
        </is>
      </c>
      <c r="F38" s="2" t="inlineStr">
        <is>
          <t>Ubicación para atención del Servicio: CSDE TORRE B PISO 3 GERENCIA MERCADEO Y COMERCIAL
Número de contacto para la atención del servicio: 3108131149
Frente: FINANCIAMIENTO Y ALIANZAS
Titulo: Acceso a Adobe PDF
Descripción: Hace unas semanas me hicieron la actualización de Windows 11 y no me dejaron activado el acceso a Adobe PDF en el computador a través de mi usuario corporativo. 
Cuando lo intento hacer, me dice que debo tener permiso de administrador para acceder. Me ayudan por favor.
Tipo de Servicio: INSTALAR DESINSTALAR APLICACION
Aplicación: WSPR47-MICROSERVICIO GENERACIÓN PDF
Adjunto: [AGGGSWY0I24JCAT81UIKT81UIKO1Y6]
</t>
        </is>
      </c>
      <c r="G38" s="2" t="inlineStr">
        <is>
          <t>SERVICIOS DE TECNOLOGIA-GESTION DE APLICACIONES-INSTALAR DESINSTALAR APLICACION</t>
        </is>
      </c>
      <c r="H38" s="2" t="inlineStr">
        <is>
          <t>Web</t>
        </is>
      </c>
      <c r="I38" s="2" t="inlineStr">
        <is>
          <t>Baja</t>
        </is>
      </c>
      <c r="J38" s="5">
        <v>46220.46527777778</v>
      </c>
      <c r="K38" s="2" t="inlineStr">
        <is>
          <t>GERLYN RENTERIA OROZCO</t>
        </is>
      </c>
      <c r="L38" s="2" t="inlineStr">
        <is>
          <t>ZONA CENTRO</t>
        </is>
      </c>
      <c r="M38" s="2" t="inlineStr">
        <is>
          <t>SERVICIOS DE TI</t>
        </is>
      </c>
      <c r="N38" s="2"/>
      <c r="O38" s="2" t="inlineStr">
        <is>
          <t>FINANCIAMIENTO Y ALIANZAS</t>
        </is>
      </c>
      <c r="P38" s="2"/>
      <c r="Q38" s="2" t="inlineStr">
        <is>
          <t>AGGGSWY0I24JCAT81UIUT81UIUO3BS</t>
        </is>
      </c>
      <c r="R38" s="2" t="inlineStr">
        <is>
          <t>a) 0-4</t>
        </is>
      </c>
      <c r="S38" s="4"/>
      <c r="T38" s="2" t="inlineStr">
        <is>
          <t>CAJA DE COMPENSACION</t>
        </is>
      </c>
      <c r="U38" s="2" t="inlineStr">
        <is>
          <t>-</t>
        </is>
      </c>
      <c r="V38" s="2" t="inlineStr">
        <is>
          <t>23/07/2026 11:10</t>
        </is>
      </c>
    </row>
    <row r="39">
      <c r="A39" s="2" t="inlineStr">
        <is>
          <t>🟢</t>
        </is>
      </c>
      <c r="B39" s="3" t="str">
        <f>HYPERLINK("https://compensar-smartit.onbmc.com/smartit/app/#/workorder/IDGGSWY0I24JCAT81U2GT81U2GO90E","WO0000000309424")</f>
        <v>WO0000000309424</v>
      </c>
      <c r="C39" s="2" t="inlineStr">
        <is>
          <t>No</t>
        </is>
      </c>
      <c r="D39" s="2" t="inlineStr">
        <is>
          <t>acompañamiento instalacion aplicativos</t>
        </is>
      </c>
      <c r="E39" s="2" t="inlineStr">
        <is>
          <t>En curso</t>
        </is>
      </c>
      <c r="F39" s="2" t="inlineStr">
        <is>
          <t>Usuari@ :Lina Marcela Campos Gil
Informa:El usuario   se comunica usuario indica que requieren es que se habilete una red libre para instalar unos aplicativos o complementos
Tiempo:11:13 a. m. 17/07/2026
Ubicación:csde piso 3
Impacto:  Usuarios afectados 1</t>
        </is>
      </c>
      <c r="G39" s="2" t="inlineStr">
        <is>
          <t>SERVICIOS DE TECNOLOGIA-ACOMPANAMIENTO-EJECUCION DE ACTIVIDADES EN SITIO</t>
        </is>
      </c>
      <c r="H39" s="2" t="inlineStr">
        <is>
          <t>Chat</t>
        </is>
      </c>
      <c r="I39" s="2" t="inlineStr">
        <is>
          <t>Baja</t>
        </is>
      </c>
      <c r="J39" s="5">
        <v>46220.467361111114</v>
      </c>
      <c r="K39" s="2" t="inlineStr">
        <is>
          <t>DILAN SAMIR LOPEZ ARAUJO</t>
        </is>
      </c>
      <c r="L39" s="2" t="inlineStr">
        <is>
          <t>SPT ZONA CENTRO</t>
        </is>
      </c>
      <c r="M39" s="2" t="inlineStr">
        <is>
          <t>SERVICIOS DE TI</t>
        </is>
      </c>
      <c r="N39" s="2"/>
      <c r="O39" s="2" t="inlineStr">
        <is>
          <t>BIENESTAR Y DESARROLLO SOCIAL</t>
        </is>
      </c>
      <c r="P39" s="2"/>
      <c r="Q39" s="2" t="inlineStr">
        <is>
          <t>IDGGSWY0I24JCAT81U2GT81U2GO90E</t>
        </is>
      </c>
      <c r="R39" s="2" t="inlineStr">
        <is>
          <t>a) 0-4</t>
        </is>
      </c>
      <c r="S39" s="4"/>
      <c r="T39" s="2"/>
      <c r="U39" s="2" t="inlineStr">
        <is>
          <t>-</t>
        </is>
      </c>
      <c r="V39" s="2" t="inlineStr">
        <is>
          <t>23/07/2026 11:15</t>
        </is>
      </c>
    </row>
    <row r="40">
      <c r="A40" s="2" t="inlineStr">
        <is>
          <t>🟢</t>
        </is>
      </c>
      <c r="B40" s="3" t="str">
        <f>HYPERLINK("https://compensar-smartit.onbmc.com/smartit/app/#/workorder/IDGGSWY0I24JCAT81VF7T81VF7PO3B","WO0000000309436")</f>
        <v>WO0000000309436</v>
      </c>
      <c r="C40" s="2" t="inlineStr">
        <is>
          <t>No</t>
        </is>
      </c>
      <c r="D40" s="2" t="inlineStr">
        <is>
          <t>Revisión técnica de equipos entregados</t>
        </is>
      </c>
      <c r="E40" s="2" t="inlineStr">
        <is>
          <t>Asignado</t>
        </is>
      </c>
      <c r="F40" s="2" t="inlineStr">
        <is>
          <t>Usuario         : Sandra Liliana Segura Castro
CC              : 1015418219
Tel             : 3143130572
Informa         : La colaboradora informa que recibió equipos pertenecientes a colaboradores que finalizaron contrato. Solicita la revisión técnica de ambos equipos para validar su estado y confirmar si presentan fallas graves no detectadas al momento de la entrega.
Ubicación       : Bloque F Piso 1 - Jardines
Tiempo          : 11:32 a. m. 17/07/2026
Impacto         : 1
Placa de equipo : p00018231 (Portátil HP), p00019259 (Lenovo) p
Evidencias      : No especificada</t>
        </is>
      </c>
      <c r="G40" s="2" t="inlineStr">
        <is>
          <t>SERVICIOS DE TECNOLOGIA-SOPORTE EQUIPOS DE COMPUTO-ACOMPANAMIENTO</t>
        </is>
      </c>
      <c r="H40" s="2" t="inlineStr">
        <is>
          <t>Telefono</t>
        </is>
      </c>
      <c r="I40" s="2" t="inlineStr">
        <is>
          <t>Baja</t>
        </is>
      </c>
      <c r="J40" s="5">
        <v>46220.48472222222</v>
      </c>
      <c r="K40" s="2" t="inlineStr">
        <is>
          <t>KEVIN ALEXIS GARCIA GUARACA</t>
        </is>
      </c>
      <c r="L40" s="2" t="inlineStr">
        <is>
          <t>ZONA CENTRO</t>
        </is>
      </c>
      <c r="M40" s="2" t="inlineStr">
        <is>
          <t>SERVICIOS DE TI</t>
        </is>
      </c>
      <c r="N40" s="2" t="inlineStr">
        <is>
          <t>P018231</t>
        </is>
      </c>
      <c r="O40" s="2" t="inlineStr">
        <is>
          <t>BIENESTAR Y DESARROLLO SOCIAL</t>
        </is>
      </c>
      <c r="P40" s="2"/>
      <c r="Q40" s="2" t="inlineStr">
        <is>
          <t>IDGGSWY0I24JCAT81VF7T81VF7PO3B</t>
        </is>
      </c>
      <c r="R40" s="2" t="inlineStr">
        <is>
          <t>a) 0-4</t>
        </is>
      </c>
      <c r="S40" s="4"/>
      <c r="T40" s="2"/>
      <c r="U40" s="2" t="inlineStr">
        <is>
          <t>-</t>
        </is>
      </c>
      <c r="V40" s="2" t="inlineStr">
        <is>
          <t>24/07/2026 15:38</t>
        </is>
      </c>
    </row>
    <row r="41">
      <c r="A41" s="2" t="inlineStr">
        <is>
          <t>🟢</t>
        </is>
      </c>
      <c r="B41" s="3" t="str">
        <f>HYPERLINK("https://compensar-smartit.onbmc.com/smartit/app/#/workorder/IDGGSWY0I24JCAT81WX8T81WX8RY1P","WO0000000309459")</f>
        <v>WO0000000309459</v>
      </c>
      <c r="C41" s="2" t="inlineStr">
        <is>
          <t>No</t>
        </is>
      </c>
      <c r="D41" s="2" t="inlineStr">
        <is>
          <t>validacion copia informacion</t>
        </is>
      </c>
      <c r="E41" s="2" t="inlineStr">
        <is>
          <t>En curso</t>
        </is>
      </c>
      <c r="F41" s="2" t="inlineStr">
        <is>
          <t>Usuario:Yenny Andrea Mora
Informa: El usuario   se comunica indicando que requiere validar si es posible realizar una copia de la información del equipo ya que el correo no cuenta con el espacio suficiente y no se puede perder esta información 
Ubicación:sede bloque f piso 3 
Tiempo:12:07 p. m. 17/07/2026
Impacto: Usuarios afectados:1</t>
        </is>
      </c>
      <c r="G41" s="2" t="inlineStr">
        <is>
          <t>SERVICIOS DE TECNOLOGIA-ASESORIA/ACOMPANAMIENTO/ACTIVIDADES-ACOMPAÑAMIENTO / EJECUCION DE ACTIVIDAD EN SITIO</t>
        </is>
      </c>
      <c r="H41" s="2" t="inlineStr">
        <is>
          <t>Telefono</t>
        </is>
      </c>
      <c r="I41" s="2" t="inlineStr">
        <is>
          <t>Baja</t>
        </is>
      </c>
      <c r="J41" s="5">
        <v>46220.50625</v>
      </c>
      <c r="K41" s="2" t="inlineStr">
        <is>
          <t>GERLYN RENTERIA OROZCO</t>
        </is>
      </c>
      <c r="L41" s="2" t="inlineStr">
        <is>
          <t>SPT ZONA CENTRO</t>
        </is>
      </c>
      <c r="M41" s="2" t="inlineStr">
        <is>
          <t>SERVICIOS DE TI</t>
        </is>
      </c>
      <c r="N41" s="2"/>
      <c r="O41" s="2" t="inlineStr">
        <is>
          <t>BIENESTAR Y DESARROLLO SOCIAL</t>
        </is>
      </c>
      <c r="P41" s="2" t="inlineStr">
        <is>
          <t>SOLUCION DEFINITIVA</t>
        </is>
      </c>
      <c r="Q41" s="2" t="inlineStr">
        <is>
          <t>IDGGSWY0I24JCAT81WX8T81WX8RY1P</t>
        </is>
      </c>
      <c r="R41" s="2" t="inlineStr">
        <is>
          <t>a) 0-4</t>
        </is>
      </c>
      <c r="S41" s="4"/>
      <c r="T41" s="2"/>
      <c r="U41" s="2" t="inlineStr">
        <is>
          <t>-</t>
        </is>
      </c>
      <c r="V41" s="2" t="inlineStr">
        <is>
          <t>23/07/2026 12:11</t>
        </is>
      </c>
    </row>
    <row r="42">
      <c r="A42" s="2" t="inlineStr">
        <is>
          <t>🟢</t>
        </is>
      </c>
      <c r="B42" s="3" t="str">
        <f>HYPERLINK("https://compensar-smartit.onbmc.com/smartit/app/#/workorder/AGGIBMZTENYZ6AT8204OT8204O43UQ","WO0000000309593")</f>
        <v>WO0000000309593</v>
      </c>
      <c r="C42" s="2" t="inlineStr">
        <is>
          <t>No</t>
        </is>
      </c>
      <c r="D42" s="2" t="inlineStr">
        <is>
          <t>Asesoría, Acompañamiento, Actividades en Sitio y Entrega de Informes</t>
        </is>
      </c>
      <c r="E42" s="2" t="inlineStr">
        <is>
          <t>En curso</t>
        </is>
      </c>
      <c r="F42" s="2" t="inlineStr">
        <is>
          <t>Ubicación para atención del Servicio: CLINICA DE LA MUJER
Número de contacto para la atención del servicio: 3016382685
Frente: SALUD
Titulo: Acompañamiento cambio PC
Descripción: Se solicita acompañamiento y/o instalacion computador, por renovacion tecnologica en sede Clinica de la Mujer, consulta externa 1 piso
Tipo de Servicio: EJECUCION DE ACTIVIDADES EN SITIO
Subcategoría: EJECUCION DE ACTIVIDADES
Grupo Requerido: REDES Y COMUNICACIONES SALUD
Fecha requerida para la actividad: 2026-07-18
Duración de la actividad en minutos: 1 hora
Adjunto: [AGGIBMZTENYZ6AT82049T8204943PF]
</t>
        </is>
      </c>
      <c r="G42" s="2" t="inlineStr">
        <is>
          <t>SERVICIOS DE TECNOLOGIA-ACOMPANAMIENTO-EJECUCION DE ACTIVIDADES EN SITIO</t>
        </is>
      </c>
      <c r="H42" s="2" t="inlineStr">
        <is>
          <t>Web</t>
        </is>
      </c>
      <c r="I42" s="2" t="inlineStr">
        <is>
          <t>Baja</t>
        </is>
      </c>
      <c r="J42" s="5">
        <v>46220.70763888889</v>
      </c>
      <c r="K42" s="2" t="inlineStr">
        <is>
          <t>EDWIN ALEXIS PATIÑO TEJEDOR</t>
        </is>
      </c>
      <c r="L42" s="2" t="inlineStr">
        <is>
          <t>SPT ZONA NORTE</t>
        </is>
      </c>
      <c r="M42" s="2" t="inlineStr">
        <is>
          <t>SERVICIOS DE TI</t>
        </is>
      </c>
      <c r="N42" s="2"/>
      <c r="O42" s="2" t="inlineStr">
        <is>
          <t>SALUD</t>
        </is>
      </c>
      <c r="P42" s="2"/>
      <c r="Q42" s="2" t="inlineStr">
        <is>
          <t>AGGIBMZTENYZ6AT8204OT8204O43UQ</t>
        </is>
      </c>
      <c r="R42" s="2" t="inlineStr">
        <is>
          <t>a) 0-4</t>
        </is>
      </c>
      <c r="S42" s="4"/>
      <c r="T42" s="2" t="inlineStr">
        <is>
          <t>SALUD</t>
        </is>
      </c>
      <c r="U42" s="2" t="inlineStr">
        <is>
          <t>-</t>
        </is>
      </c>
      <c r="V42" s="2" t="inlineStr">
        <is>
          <t>24/07/2026 08:00</t>
        </is>
      </c>
    </row>
    <row r="43">
      <c r="A43" s="2" t="inlineStr">
        <is>
          <t>🟢</t>
        </is>
      </c>
      <c r="B43" s="3" t="str">
        <f>HYPERLINK("https://compensar-smartit.onbmc.com/smartit/app/#/workorder/AGGGSWY0I24JCAT82F46T82F46BXP8","WO0000000309615")</f>
        <v>WO0000000309615</v>
      </c>
      <c r="C43" s="2" t="inlineStr">
        <is>
          <t>No</t>
        </is>
      </c>
      <c r="D43" s="2" t="inlineStr">
        <is>
          <t>Asesoría, Acompañamiento, Actividades en Sitio y Entrega de Informes</t>
        </is>
      </c>
      <c r="E43" s="2" t="inlineStr">
        <is>
          <t>En curso</t>
        </is>
      </c>
      <c r="F43" s="2" t="inlineStr">
        <is>
          <t>Ubicación para atención del Servicio: C94 TORRE B PISO 4 ADMINISTRACION SOR
Número de contacto para la atención del servicio: 3118725894
Frente: SALUD
Titulo: ACOMPAÑAMIENTO EN REUNION CON SEGURIDAD DE LA INFORMACIÓN PC PORTATIL
Descripción: BUEN DIA, SOLICITO DE SU COLABORACION CON EL ACOMPAÑAMIENTO PARA LA REUNION CITADA EL DIA MARTES 21 DE JULIO A LAS 8:00 AM VIA TEAMS CON LA FINALIDAD DE  revisar los requerimientos relacionados y ese dia por favor realizar todas las preguntas necesarias o dudas EN CUANTO A LA INSTALACION DEL PORTATIL Y SU ACCESO A INTERNET, ADJUNTO LINK DE REUNIÓN, gracias 
https://teams.microsoft.com/l/meetup-join/19%3ameeting_MmYxYWVjMmYtMWM2OC00ZmM1LThjMjMtNGVmYTQ2ODk4MzZh%40thread.v2/0?context=%7b%22Tid%22%3a%22820e7582-98f9-4bda-92bf-117e21150c73%22%2c%22Oid%22%3a%228f25eb7b-e027-4372-a00e-2c06e0103bbc%22%7d
Tipo de Servicio: EJECUCION DE ACTIVIDADES EN SITIO
Subcategoría: ACOMPAÑAMIENTO
Grupo Requerido: SPT CABECERA CALLE 94
Fecha requerida para la actividad: 2026-07-21
Duración de la actividad en minutos: 60 MIN
Adjunto: [AGGIBMZTENYZ6AT82F1IT82F1IH9NK, AGGIBMZTENYZ6AT82F4HT82F4HHOJ3]
</t>
        </is>
      </c>
      <c r="G43" s="2" t="inlineStr">
        <is>
          <t>SERVICIOS DE TECNOLOGIA-ACOMPANAMIENTO-EJECUCION DE ACTIVIDADES EN SITIO</t>
        </is>
      </c>
      <c r="H43" s="2" t="inlineStr">
        <is>
          <t>Web</t>
        </is>
      </c>
      <c r="I43" s="2" t="inlineStr">
        <is>
          <t>Baja</t>
        </is>
      </c>
      <c r="J43" s="5">
        <v>46220.63263888889</v>
      </c>
      <c r="K43" s="2" t="inlineStr">
        <is>
          <t>CARLOS IVAN CUCANCHON CARRILLO</t>
        </is>
      </c>
      <c r="L43" s="2" t="inlineStr">
        <is>
          <t>SPT CABECERA CALLE 94</t>
        </is>
      </c>
      <c r="M43" s="2" t="inlineStr">
        <is>
          <t>SERVICIOS DE TI</t>
        </is>
      </c>
      <c r="N43" s="2"/>
      <c r="O43" s="2" t="inlineStr">
        <is>
          <t>SALUD</t>
        </is>
      </c>
      <c r="P43" s="2"/>
      <c r="Q43" s="2" t="inlineStr">
        <is>
          <t>AGGGSWY0I24JCAT82F46T82F46BXP8</t>
        </is>
      </c>
      <c r="R43" s="2" t="inlineStr">
        <is>
          <t>a) 0-4</t>
        </is>
      </c>
      <c r="S43" s="4"/>
      <c r="T43" s="2" t="inlineStr">
        <is>
          <t>SALUD</t>
        </is>
      </c>
      <c r="U43" s="2" t="inlineStr">
        <is>
          <t>-</t>
        </is>
      </c>
      <c r="V43" s="2" t="inlineStr">
        <is>
          <t>23/07/2026 15:17</t>
        </is>
      </c>
    </row>
    <row r="44">
      <c r="A44" s="2" t="inlineStr">
        <is>
          <t>🟢</t>
        </is>
      </c>
      <c r="B44" s="3" t="str">
        <f>HYPERLINK("https://compensar-smartit.onbmc.com/smartit/app/#/workorder/IDGGSWY0I24JCAT82JETT82JETGS0M","WO0000000309641")</f>
        <v>WO0000000309641</v>
      </c>
      <c r="C44" s="2" t="inlineStr">
        <is>
          <t>No</t>
        </is>
      </c>
      <c r="D44" s="2" t="inlineStr">
        <is>
          <t>Ataque de fuerza bruta</t>
        </is>
      </c>
      <c r="E44" s="2" t="inlineStr">
        <is>
          <t>En curso</t>
        </is>
      </c>
      <c r="F44" s="2" t="inlineStr">
        <is>
          <t>Se recibe alerta por ataque de fuerza bruta desde la fuente Windows, donde los usuarios “admin”, “SUF”, “root” genera 28.09, intentos por minuto, peticiones hacia el host VMPCASTANO (172.22.147.250) desde las IP 172.18.42.17 
Agradezco su apoyo generando un requerimiento a puesto de trabajo realizando las siguientes validaciones 
Validar si el equipo se encuentra subido al dominio en caso de ser así, validar porque no se subió con la nomenclatura correcta (Según caso) 
•	Descartar el escenario de "credencial oculta obsoleta" por favor revisar el "administrador de credenciales de Windows" 
•	(OPCIONAL)Ejecutar el comando desde el CMD rundll32 keymgr.dll,KRShowKeyMgr para verificar usuarios y contraseñas almacenados 
•	Revisar el programador de tareas de Windows y visualizar dentro de las tareas programadas cuál coincide con la hora 17 de julio de 2026 a las 8:34 que corresponde a esta alerta 
•	Validar que las Bases de datos del antivirus se encuentren actualizadas y que el antivirus se encuentre activo, validar agente, si es necesario reinstalar. 
•	Realizar análisis a profundidad a todas las unidades del disco duro con el antivirus. 
•	Validar que las políticas de dominio se encuentren al día. 
•	Validar que solamente exista una sesión activa del usuario que hace uso de la máquina, en caso de existir otras por favor cerrarlas. 
•	Validar si hay algún usuario quemado en los equipos que este realizando solicitudes de logueo, estos usuarios pueden ser de excolaboradores. 
•	Borrar todo lo relacionados a inicios de sesión en navegadores. 
•	Revisar si se tiene una unidad de red mapeada de VMPCASTANO. 
•	Validar complementos y extensiones de los navegadores. 
•	Eliminar temporales y cache. 
•	Validar que las actualizaciones del Sistema Operativo y suit de office estén al día. 
•	Validar programas o servicios sospechosos o que no deberían estar en ejecución, por ejemplo, terminales en CMD que esté en ejecución pero que el usuario no la haya ejecutado, tomar evidencia. 
Adjuntar en la solicitud, capturas de pantalla donde se observe el resultado de cada una de las validaciones y garantizando que el equipo no presenta amenazas. En caso contrario se solicitará la re-apertura del caso. 
Gracias</t>
        </is>
      </c>
      <c r="G44" s="2" t="inlineStr">
        <is>
          <t>SERVICIOS DE TECNOLOGIA-SOPORTE EQUIPOS DE COMPUTO-ACOMPANAMIENTO</t>
        </is>
      </c>
      <c r="H44" s="2" t="inlineStr">
        <is>
          <t>Web</t>
        </is>
      </c>
      <c r="I44" s="2" t="inlineStr">
        <is>
          <t>Baja</t>
        </is>
      </c>
      <c r="J44" s="5">
        <v>46220.688888888886</v>
      </c>
      <c r="K44" s="2" t="inlineStr">
        <is>
          <t>DANIEL ALEJANDRO BORDA MESTIZO</t>
        </is>
      </c>
      <c r="L44" s="2" t="inlineStr">
        <is>
          <t>SPT ZONA CENTRO</t>
        </is>
      </c>
      <c r="M44" s="2" t="inlineStr">
        <is>
          <t>SERVICIOS DE TI</t>
        </is>
      </c>
      <c r="N44" s="2"/>
      <c r="O44" s="2" t="inlineStr">
        <is>
          <t>SALUD</t>
        </is>
      </c>
      <c r="P44" s="2"/>
      <c r="Q44" s="2" t="inlineStr">
        <is>
          <t>IDGGSWY0I24JCAT82JETT82JETGS0M</t>
        </is>
      </c>
      <c r="R44" s="2" t="inlineStr">
        <is>
          <t>a) 0-4</t>
        </is>
      </c>
      <c r="S44" s="4"/>
      <c r="T44" s="2"/>
      <c r="U44" s="2" t="inlineStr">
        <is>
          <t>-</t>
        </is>
      </c>
      <c r="V44" s="2" t="inlineStr">
        <is>
          <t>23/07/2026 16:49</t>
        </is>
      </c>
    </row>
    <row r="45">
      <c r="A45" s="2" t="inlineStr">
        <is>
          <t>🟢</t>
        </is>
      </c>
      <c r="B45" s="3" t="str">
        <f>HYPERLINK("https://compensar-smartit.onbmc.com/smartit/app/#/workorder/IDGIBMZTENYZ6AT85ORQT85ORQIK8Q","WO0000000309779")</f>
        <v>WO0000000309779</v>
      </c>
      <c r="C45" s="2" t="inlineStr">
        <is>
          <t>No</t>
        </is>
      </c>
      <c r="D45" s="2" t="inlineStr">
        <is>
          <t>Configuración acceso a correo outlook</t>
        </is>
      </c>
      <c r="E45" s="2" t="inlineStr">
        <is>
          <t>En curso</t>
        </is>
      </c>
      <c r="F45" s="2" t="inlineStr">
        <is>
          <t>Usuario: CC 1031133813 GISSELLE TATIANA GUZMAN ROCHA .
Informa: Configuración navegador acceso a correo, teams.
Ubicación: Clínica nueva piso 3 laboratorio.
Tiempo: 12:18 p. m. 19/07/2026.
Impacto: C003996.
Evidencias: Se realiza configuración de certificado, actualización de políticas, sin embargo aun no permite el acceso a correo ni a teams.</t>
        </is>
      </c>
      <c r="G45" s="2" t="inlineStr">
        <is>
          <t>SERVICIOS DE TECNOLOGIA-APLICACIONES DE NEGOCIO-PARAMETRIZACION APP</t>
        </is>
      </c>
      <c r="H45" s="2" t="inlineStr">
        <is>
          <t>Telefono</t>
        </is>
      </c>
      <c r="I45" s="2" t="inlineStr">
        <is>
          <t>Baja</t>
        </is>
      </c>
      <c r="J45" s="5">
        <v>46222.55</v>
      </c>
      <c r="K45" s="2" t="inlineStr">
        <is>
          <t>JEISON ANDRES REYES ROMERO</t>
        </is>
      </c>
      <c r="L45" s="2" t="inlineStr">
        <is>
          <t>SPT ZONA ORIENTE</t>
        </is>
      </c>
      <c r="M45" s="2" t="inlineStr">
        <is>
          <t>SERVICIOS DE TI</t>
        </is>
      </c>
      <c r="N45" s="2"/>
      <c r="O45" s="2" t="inlineStr">
        <is>
          <t>SALUD</t>
        </is>
      </c>
      <c r="P45" s="2"/>
      <c r="Q45" s="2" t="inlineStr">
        <is>
          <t>IDGIBMZTENYZ6AT85ORQT85ORQIK8Q</t>
        </is>
      </c>
      <c r="R45" s="2" t="inlineStr">
        <is>
          <t>a) 0-4</t>
        </is>
      </c>
      <c r="S45" s="4"/>
      <c r="T45" s="2"/>
      <c r="U45" s="2" t="inlineStr">
        <is>
          <t>-</t>
        </is>
      </c>
      <c r="V45" s="2" t="inlineStr">
        <is>
          <t>24/07/2026 08:00</t>
        </is>
      </c>
    </row>
    <row r="46">
      <c r="A46" s="2" t="inlineStr">
        <is>
          <t>🟢</t>
        </is>
      </c>
      <c r="B46" s="3" t="str">
        <f>HYPERLINK("https://compensar-smartit.onbmc.com/smartit/app/#/workorder/IDGGSWY0I24JCAT858UMT858UMG87B","WO0000000309834")</f>
        <v>WO0000000309834</v>
      </c>
      <c r="C46" s="2" t="inlineStr">
        <is>
          <t>No</t>
        </is>
      </c>
      <c r="D46" s="2" t="inlineStr">
        <is>
          <t>Apoyo configuración aplicativo looking body</t>
        </is>
      </c>
      <c r="E46" s="2" t="inlineStr">
        <is>
          <t>En curso</t>
        </is>
      </c>
      <c r="F46" s="2" t="inlineStr">
        <is>
          <t>Usuario: CC  1013630195 PAULA LORENA COBO LEMUS.
Informa: Solicita apoyo para configuración de aplicativo, looking body, para el cargue de base de datos y para que permita descargar resultados.
Ubicación: Chía piso 3 al lado de ascensor.
Tiempo: 10:44 a. m. 19/07/2026.
Impacto: C174612.
Evidencias: NA.</t>
        </is>
      </c>
      <c r="G46" s="2" t="inlineStr">
        <is>
          <t>SERVICIOS DE TECNOLOGIA-APLICACIONES DE NEGOCIO-PARAMETRIZACION APP</t>
        </is>
      </c>
      <c r="H46" s="2" t="inlineStr">
        <is>
          <t>Telefono</t>
        </is>
      </c>
      <c r="I46" s="2" t="inlineStr">
        <is>
          <t>Baja</t>
        </is>
      </c>
      <c r="J46" s="5">
        <v>46222.464583333334</v>
      </c>
      <c r="K46" s="2" t="inlineStr">
        <is>
          <t>GERLYN RENTERIA OROZCO</t>
        </is>
      </c>
      <c r="L46" s="2" t="inlineStr">
        <is>
          <t>ZONA CENTRO</t>
        </is>
      </c>
      <c r="M46" s="2" t="inlineStr">
        <is>
          <t>SERVICIOS DE TI</t>
        </is>
      </c>
      <c r="N46" s="2" t="inlineStr">
        <is>
          <t>C174612</t>
        </is>
      </c>
      <c r="O46" s="2" t="inlineStr">
        <is>
          <t>BIENESTAR Y DESARROLLO SOCIAL</t>
        </is>
      </c>
      <c r="P46" s="2"/>
      <c r="Q46" s="2" t="inlineStr">
        <is>
          <t>IDGGSWY0I24JCAT858UMT858UMG87B</t>
        </is>
      </c>
      <c r="R46" s="2" t="inlineStr">
        <is>
          <t>a) 0-4</t>
        </is>
      </c>
      <c r="S46" s="4"/>
      <c r="T46" s="2"/>
      <c r="U46" s="2" t="inlineStr">
        <is>
          <t>-</t>
        </is>
      </c>
      <c r="V46" s="2" t="inlineStr">
        <is>
          <t>27/07/2026 12:00</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